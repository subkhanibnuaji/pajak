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Data Registrasi" sheetId="2" state="visible" r:id="rId4"/>
    <sheet name="💰 Data BPA1 &amp; Penghasilan" sheetId="3" state="visible" r:id="rId5"/>
    <sheet name="📊 PTKP &amp; Kalkulasi Pajak" sheetId="4" state="visible" r:id="rId6"/>
    <sheet name="🤖 Prompt Claude Chrome" sheetId="5" state="visible" r:id="rId7"/>
    <sheet name="👨‍👩‍👧 Tanggungan &amp; Harta"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<sst xmlns="http://schemas.openxmlformats.org/spreadsheetml/2006/main" count="420" uniqueCount="319">
  <si>
    <t xml:space="preserve">📋 SPT Tahunan PPh OP Karyawan — Checklist &amp; Dashboard</t>
  </si>
  <si>
    <t xml:space="preserve">Gunakan file ini untuk mempersiapkan dan melacak progress pelaporan SPT Tahunan Anda di Coretax DJP</t>
  </si>
  <si>
    <t xml:space="preserve">Tahun Pajak</t>
  </si>
  <si>
    <t xml:space="preserve">2025</t>
  </si>
  <si>
    <t xml:space="preserve">Deadline Pelaporan</t>
  </si>
  <si>
    <t xml:space="preserve">31 Maret 2026</t>
  </si>
  <si>
    <t xml:space="preserve">Platform</t>
  </si>
  <si>
    <t xml:space="preserve">https://coretaxdjp.pajak.go.id</t>
  </si>
  <si>
    <t xml:space="preserve">Jenis Wajib Pajak</t>
  </si>
  <si>
    <t xml:space="preserve">Orang Pribadi - Karyawan</t>
  </si>
  <si>
    <t xml:space="preserve">Formulir SPT</t>
  </si>
  <si>
    <t xml:space="preserve">1770 S (Formulir Sederhana)</t>
  </si>
  <si>
    <t xml:space="preserve">NO</t>
  </si>
  <si>
    <t xml:space="preserve">TAHAP</t>
  </si>
  <si>
    <t xml:space="preserve">DETAIL</t>
  </si>
  <si>
    <t xml:space="preserve">STATUS</t>
  </si>
  <si>
    <t xml:space="preserve">CATATAN</t>
  </si>
  <si>
    <t xml:space="preserve">Aktivasi Akun Coretax</t>
  </si>
  <si>
    <t xml:space="preserve">Registrasi &amp; aktivasi di coretaxdjp.pajak.go.id</t>
  </si>
  <si>
    <t xml:space="preserve">⬜ Belum</t>
  </si>
  <si>
    <t xml:space="preserve">Siapkan Dokumen</t>
  </si>
  <si>
    <t xml:space="preserve">KTP, KK, email aktif, nomor HP aktif</t>
  </si>
  <si>
    <t xml:space="preserve">Login ke Coretax</t>
  </si>
  <si>
    <t xml:space="preserve">Gunakan NPWP 16 digit + password</t>
  </si>
  <si>
    <t xml:space="preserve">Unduh Bukti Potong A1 (BPA1)</t>
  </si>
  <si>
    <t xml:space="preserve">Portal Saya → Dokumen Saya → Unduh BPA1</t>
  </si>
  <si>
    <t xml:space="preserve">Buat Konsep SPT</t>
  </si>
  <si>
    <t xml:space="preserve">Menu SPT → Buat Konsep → SPT Tahunan 2025</t>
  </si>
  <si>
    <t xml:space="preserve">Isi Induk SPT</t>
  </si>
  <si>
    <t xml:space="preserve">Pilih: Pekerjaan, Pencatatan, jawab Ya/Tidak</t>
  </si>
  <si>
    <t xml:space="preserve">Isi Lampiran L-1</t>
  </si>
  <si>
    <t xml:space="preserve">Data penghasilan &amp; bukti potong dari BPA1</t>
  </si>
  <si>
    <t xml:space="preserve">Cek Ringkasan Perhitungan</t>
  </si>
  <si>
    <t xml:space="preserve">Verifikasi PKP, PPh Terutang, Status SPT</t>
  </si>
  <si>
    <t xml:space="preserve">Simpan Konsep SPT</t>
  </si>
  <si>
    <t xml:space="preserve">Klik Simpan Konsep sebelum lapor</t>
  </si>
  <si>
    <t xml:space="preserve">Lapor SPT</t>
  </si>
  <si>
    <t xml:space="preserve">Centang pernyataan → Bayar dan Lapor</t>
  </si>
  <si>
    <t xml:space="preserve">Simpan Bukti Pelaporan</t>
  </si>
  <si>
    <t xml:space="preserve">Download/screenshot BPE (Bukti Penerimaan Elektronik)</t>
  </si>
  <si>
    <t xml:space="preserve">📝 Data Registrasi &amp; Identitas Wajib Pajak</t>
  </si>
  <si>
    <t xml:space="preserve">Isi kolom 'Data Anda' dengan data sebenarnya. Kolom berwarna kuning = wajib diisi.</t>
  </si>
  <si>
    <t xml:space="preserve">TAB CORETAX</t>
  </si>
  <si>
    <t xml:space="preserve">NAMA FIELD</t>
  </si>
  <si>
    <t xml:space="preserve">WAJIB</t>
  </si>
  <si>
    <t xml:space="preserve">KETERANGAN / CONTOH</t>
  </si>
  <si>
    <t xml:space="preserve">DATA ANDA ✏️</t>
  </si>
  <si>
    <t xml:space="preserve">  📌 Identitas WP</t>
  </si>
  <si>
    <t xml:space="preserve">Identitas WP</t>
  </si>
  <si>
    <t xml:space="preserve">NIK</t>
  </si>
  <si>
    <t xml:space="preserve">16 digit dari KTP (bukan NPWP)</t>
  </si>
  <si>
    <t xml:space="preserve">NPWP 16 Digit</t>
  </si>
  <si>
    <t xml:space="preserve">Nomor Pokok Wajib Pajak 16 digit</t>
  </si>
  <si>
    <t xml:space="preserve">Nama Lengkap</t>
  </si>
  <si>
    <t xml:space="preserve">Sesuai KTP, huruf kapital</t>
  </si>
  <si>
    <t xml:space="preserve">Pilih: Orang Pribadi</t>
  </si>
  <si>
    <t xml:space="preserve">Orang Pribadi</t>
  </si>
  <si>
    <t xml:space="preserve">Tempat Lahir</t>
  </si>
  <si>
    <t xml:space="preserve">Nama kota, sesuai KTP. Contoh: JAKARTA</t>
  </si>
  <si>
    <t xml:space="preserve">Negara Asal</t>
  </si>
  <si>
    <t xml:space="preserve">Default: Indonesia</t>
  </si>
  <si>
    <t xml:space="preserve">Indonesia</t>
  </si>
  <si>
    <t xml:space="preserve">Tanggal Lahir</t>
  </si>
  <si>
    <t xml:space="preserve">Format DD/MM/YYYY. Contoh: 01/01/1990</t>
  </si>
  <si>
    <t xml:space="preserve">Jenis Kelamin</t>
  </si>
  <si>
    <t xml:space="preserve">Laki-laki / Perempuan</t>
  </si>
  <si>
    <t xml:space="preserve">Status Perkawinan</t>
  </si>
  <si>
    <t xml:space="preserve">Kawin / Belum Kawin / Cerai</t>
  </si>
  <si>
    <t xml:space="preserve">Agama</t>
  </si>
  <si>
    <t xml:space="preserve">Islam/Kristen/Katolik/Hindu/Buddha/Konghucu/Lainnya</t>
  </si>
  <si>
    <t xml:space="preserve">Jenis Pekerjaan</t>
  </si>
  <si>
    <t xml:space="preserve">Contoh: Karyawan Swasta / PNS / BUMN</t>
  </si>
  <si>
    <t xml:space="preserve">Nama Ibu Kandung</t>
  </si>
  <si>
    <t xml:space="preserve">Sesuai KTP/Akta Lahir, huruf kapital</t>
  </si>
  <si>
    <t xml:space="preserve">Nomor Kartu Keluarga (KK)</t>
  </si>
  <si>
    <t xml:space="preserve">16 digit dari KK</t>
  </si>
  <si>
    <t xml:space="preserve">Status Hub. Keluarga dalam KK</t>
  </si>
  <si>
    <t xml:space="preserve">Kepala Keluarga / Anggota Keluarga</t>
  </si>
  <si>
    <t xml:space="preserve">  📌 Detail Kontak</t>
  </si>
  <si>
    <t xml:space="preserve">Detail Kontak</t>
  </si>
  <si>
    <t xml:space="preserve">Alamat Email Aktif</t>
  </si>
  <si>
    <t xml:space="preserve">Akan dipakai untuk OTP. Gunakan email yg aktif</t>
  </si>
  <si>
    <t xml:space="preserve">Nomor HP Aktif</t>
  </si>
  <si>
    <t xml:space="preserve">Awali dengan 0. Contoh: 08123456789</t>
  </si>
  <si>
    <t xml:space="preserve">Nomor Telepon Rumah</t>
  </si>
  <si>
    <t xml:space="preserve">Opsional</t>
  </si>
  <si>
    <t xml:space="preserve">Contoh: 02112345678</t>
  </si>
  <si>
    <t xml:space="preserve">Nomor Faksimile</t>
  </si>
  <si>
    <t xml:space="preserve">Kosongkan jika tidak ada</t>
  </si>
  <si>
    <t xml:space="preserve">  📌 Data Ekonomi</t>
  </si>
  <si>
    <t xml:space="preserve">Data Ekonomi</t>
  </si>
  <si>
    <t xml:space="preserve">Metode Pembukuan</t>
  </si>
  <si>
    <t xml:space="preserve">Karyawan → pilih Pencatatan</t>
  </si>
  <si>
    <t xml:space="preserve">Pencatatan</t>
  </si>
  <si>
    <t xml:space="preserve">Mata Uang Pembukuan</t>
  </si>
  <si>
    <t xml:space="preserve">Default: Rupiah Indonesia (IDR)</t>
  </si>
  <si>
    <t xml:space="preserve">Rupiah Indonesia</t>
  </si>
  <si>
    <t xml:space="preserve">Periode Pembukuan</t>
  </si>
  <si>
    <t xml:space="preserve">Default Januari–Desember (01-12)</t>
  </si>
  <si>
    <t xml:space="preserve">01-12</t>
  </si>
  <si>
    <t xml:space="preserve">Sumber Penghasilan</t>
  </si>
  <si>
    <t xml:space="preserve">Pilih: Pekerjaan / Karyawan</t>
  </si>
  <si>
    <t xml:space="preserve">Pekerjaan</t>
  </si>
  <si>
    <t xml:space="preserve">Nama Pemberi Kerja</t>
  </si>
  <si>
    <t xml:space="preserve">Nama perusahaan tempat bekerja</t>
  </si>
  <si>
    <t xml:space="preserve">NPWP Pemberi Kerja</t>
  </si>
  <si>
    <t xml:space="preserve">NPWP 16 digit perusahaan (lihat di slip gaji/BPA1)</t>
  </si>
  <si>
    <t xml:space="preserve">  📌 Alamat</t>
  </si>
  <si>
    <t xml:space="preserve">Alamat</t>
  </si>
  <si>
    <t xml:space="preserve">Jenis Alamat</t>
  </si>
  <si>
    <t xml:space="preserve">Pilih: Alamat Domisili (Utama)</t>
  </si>
  <si>
    <t xml:space="preserve">Alamat Domisili</t>
  </si>
  <si>
    <t xml:space="preserve">Detail Alamat (Jalan)</t>
  </si>
  <si>
    <t xml:space="preserve">Nama jalan, nomor, gedung/blok/RT/RW</t>
  </si>
  <si>
    <t xml:space="preserve">RT</t>
  </si>
  <si>
    <t xml:space="preserve">3 digit. Isi 000 jika tidak ada</t>
  </si>
  <si>
    <t xml:space="preserve">RW</t>
  </si>
  <si>
    <t xml:space="preserve">Provinsi</t>
  </si>
  <si>
    <t xml:space="preserve">Pilih dari dropdown sistem</t>
  </si>
  <si>
    <t xml:space="preserve">Kota / Kabupaten</t>
  </si>
  <si>
    <t xml:space="preserve">Kecamatan</t>
  </si>
  <si>
    <t xml:space="preserve">Desa / Kelurahan</t>
  </si>
  <si>
    <t xml:space="preserve">Kode Pos</t>
  </si>
  <si>
    <t xml:space="preserve">5 digit. Contoh: 12345</t>
  </si>
  <si>
    <t xml:space="preserve">Titik Koordinat / Peta</t>
  </si>
  <si>
    <t xml:space="preserve">Klik tombol 'Mark Address' → pin lokasi di peta</t>
  </si>
  <si>
    <t xml:space="preserve">Klik Mark Address</t>
  </si>
  <si>
    <t xml:space="preserve">  📌 Verifikasi</t>
  </si>
  <si>
    <t xml:space="preserve">Verifikasi</t>
  </si>
  <si>
    <t xml:space="preserve">Foto Wajah / Selfie</t>
  </si>
  <si>
    <t xml:space="preserve">Upload foto wajah jelas, pencahayaan baik, tanpa aksesoris</t>
  </si>
  <si>
    <t xml:space="preserve">  📌 Pernyataan WP</t>
  </si>
  <si>
    <t xml:space="preserve">Pernyataan WP</t>
  </si>
  <si>
    <t xml:space="preserve">Centang Persetujuan</t>
  </si>
  <si>
    <t xml:space="preserve">Centang semua pernyataan sebelum klik Ajukan</t>
  </si>
  <si>
    <t xml:space="preserve">💰 Data Bukti Potong A1 (BPA1) &amp; Rincian Penghasilan</t>
  </si>
  <si>
    <t xml:space="preserve">Isi dari Bukti Potong A1 (BPA1) yang diunduh dari portal Coretax. Angka dalam Rupiah.</t>
  </si>
  <si>
    <t xml:space="preserve">FIELD BPA1</t>
  </si>
  <si>
    <t xml:space="preserve">KETERANGAN</t>
  </si>
  <si>
    <t xml:space="preserve">NILAI (Rp) ✏️</t>
  </si>
  <si>
    <t xml:space="preserve">  📌 A. IDENTITAS PENERIMA PENGHASILAN (dari BPA1)</t>
  </si>
  <si>
    <t xml:space="preserve">NIK/NPWP Penerima</t>
  </si>
  <si>
    <t xml:space="preserve">Sesuai BPA1 bagian A.1</t>
  </si>
  <si>
    <t xml:space="preserve">Nama Penerima</t>
  </si>
  <si>
    <t xml:space="preserve">Sesuai BPA1 bagian A.2</t>
  </si>
  <si>
    <t xml:space="preserve">Status PTKP</t>
  </si>
  <si>
    <t xml:space="preserve">TK/0, K/0, K/1, K/2, K/3 — lihat BPA1 bagian A.5</t>
  </si>
  <si>
    <t xml:space="preserve">Nomor BPA1</t>
  </si>
  <si>
    <t xml:space="preserve">Nomor seri bukti potong (bagian atas BPA1)</t>
  </si>
  <si>
    <t xml:space="preserve">Periode Penghasilan</t>
  </si>
  <si>
    <t xml:space="preserve">01-07-2025 s.d. 31-12-2025 (atau sesuai BPA1)</t>
  </si>
  <si>
    <t xml:space="preserve">Nama Pemotong Pajak (Perusahaan)</t>
  </si>
  <si>
    <t xml:space="preserve">Sesuai BPA1 bagian C.3</t>
  </si>
  <si>
    <t xml:space="preserve">NPWP Pemotong</t>
  </si>
  <si>
    <t xml:space="preserve">Sesuai BPA1 bagian C.1</t>
  </si>
  <si>
    <t xml:space="preserve">  📌 B. PENGHASILAN BRUTO (dari BPA1 bagian B)</t>
  </si>
  <si>
    <t xml:space="preserve">1</t>
  </si>
  <si>
    <t xml:space="preserve">Gaji / Pensiun setahun</t>
  </si>
  <si>
    <t xml:space="preserve">BPA1 baris 1 — penghasilan pokok dari pemberi kerja</t>
  </si>
  <si>
    <t xml:space="preserve">2</t>
  </si>
  <si>
    <t xml:space="preserve">Tunjangan PPh</t>
  </si>
  <si>
    <t xml:space="preserve">BPA1 baris 2 — tunjangan pajak jika ada</t>
  </si>
  <si>
    <t xml:space="preserve">3</t>
  </si>
  <si>
    <t xml:space="preserve">Tunjangan Lainnya &amp; Uang Lembur</t>
  </si>
  <si>
    <t xml:space="preserve">BPA1 baris 3 — tunjangan makan, transport, dll</t>
  </si>
  <si>
    <t xml:space="preserve">4</t>
  </si>
  <si>
    <t xml:space="preserve">Honorarium &amp; Imbalan Lain</t>
  </si>
  <si>
    <t xml:space="preserve">BPA1 baris 4</t>
  </si>
  <si>
    <t xml:space="preserve">5</t>
  </si>
  <si>
    <t xml:space="preserve">Premi Asuransi dibayar Pemberi Kerja</t>
  </si>
  <si>
    <t xml:space="preserve">BPA1 baris 5 — asuransi BPJS Kesehatan, dll</t>
  </si>
  <si>
    <t xml:space="preserve">6</t>
  </si>
  <si>
    <t xml:space="preserve">Penerimaan Natura</t>
  </si>
  <si>
    <t xml:space="preserve">BPA1 baris 6 — fasilitas dari perusahaan</t>
  </si>
  <si>
    <t xml:space="preserve">7</t>
  </si>
  <si>
    <t xml:space="preserve">Tantiem, Bonus, Gratifikasi, THR</t>
  </si>
  <si>
    <t xml:space="preserve">BPA1 baris 7 — bonus tahunan, THR</t>
  </si>
  <si>
    <t xml:space="preserve">8</t>
  </si>
  <si>
    <t xml:space="preserve">TOTAL PENGHASILAN BRUTO</t>
  </si>
  <si>
    <t xml:space="preserve">BPA1 baris 8 = SUM(baris 1–7) ← otomatis oleh sistem</t>
  </si>
  <si>
    <t xml:space="preserve">  📌 C. PENGURANGAN &amp; PERHITUNGAN PPh (otomatis dari BPA1)</t>
  </si>
  <si>
    <t xml:space="preserve">9</t>
  </si>
  <si>
    <t xml:space="preserve">Biaya Jabatan / Biaya Pensiun</t>
  </si>
  <si>
    <t xml:space="preserve">BPA1 baris 9 — maks 6 juta/tahun (otomatis sistem)</t>
  </si>
  <si>
    <t xml:space="preserve">10</t>
  </si>
  <si>
    <t xml:space="preserve">Iuran Pensiun / JHT</t>
  </si>
  <si>
    <t xml:space="preserve">BPA1 baris 10 — potongan BPJS Ketenagakerjaan</t>
  </si>
  <si>
    <t xml:space="preserve">11</t>
  </si>
  <si>
    <t xml:space="preserve">Zakat / Sumbangan Wajib</t>
  </si>
  <si>
    <t xml:space="preserve">BPA1 baris 11 — jika ada</t>
  </si>
  <si>
    <t xml:space="preserve">12</t>
  </si>
  <si>
    <t xml:space="preserve">TOTAL PENGURANG</t>
  </si>
  <si>
    <t xml:space="preserve">BPA1 baris 12 = SUM(9–11)</t>
  </si>
  <si>
    <t xml:space="preserve">13</t>
  </si>
  <si>
    <t xml:space="preserve">PENGHASILAN NETO SETAHUN</t>
  </si>
  <si>
    <t xml:space="preserve">BPA1 baris 13 = Bruto (8) - Pengurang (12)</t>
  </si>
  <si>
    <t xml:space="preserve">14</t>
  </si>
  <si>
    <t xml:space="preserve">PTKP (sesuai status)</t>
  </si>
  <si>
    <t xml:space="preserve">Otomatis dari status PTKP Anda (lihat tab PTKP)</t>
  </si>
  <si>
    <t xml:space="preserve">15</t>
  </si>
  <si>
    <t xml:space="preserve">PKP (Penghasilan Kena Pajak)</t>
  </si>
  <si>
    <t xml:space="preserve">BPA1 baris 15 = Neto (13) - PTKP (14)</t>
  </si>
  <si>
    <t xml:space="preserve">16</t>
  </si>
  <si>
    <t xml:space="preserve">PPh PASAL 21 TERUTANG</t>
  </si>
  <si>
    <t xml:space="preserve">BPA1 baris 17/18 — dihitung dari tarif progresif</t>
  </si>
  <si>
    <t xml:space="preserve">17</t>
  </si>
  <si>
    <t xml:space="preserve">PPh Pasal 21 DIPOTONG Pemberi Kerja</t>
  </si>
  <si>
    <t xml:space="preserve">BPA1 baris 20/22 — total sudah dipotong</t>
  </si>
  <si>
    <t xml:space="preserve">18</t>
  </si>
  <si>
    <t xml:space="preserve">SELISIH (Kurang/Lebih Bayar)</t>
  </si>
  <si>
    <t xml:space="preserve">BPA1 baris 23 = Terutang - Dipotong</t>
  </si>
  <si>
    <t xml:space="preserve">📊 Tabel PTKP, Tarif Pajak &amp; Kalkulasi SPT</t>
  </si>
  <si>
    <t xml:space="preserve">Referensi resmi tarif PPh OP 2024-2025 dan kalkulator otomatis estimasi pajak Anda</t>
  </si>
  <si>
    <t xml:space="preserve">  📌 TABEL PTKP 2024-2025 (Penghasilan Tidak Kena Pajak)</t>
  </si>
  <si>
    <t xml:space="preserve">STATUS PTKP</t>
  </si>
  <si>
    <t xml:space="preserve">PTKP SETAHUN (Rp)</t>
  </si>
  <si>
    <t xml:space="preserve">TK/0</t>
  </si>
  <si>
    <t xml:space="preserve">Tidak Kawin, 0 tanggungan</t>
  </si>
  <si>
    <t xml:space="preserve">TK/1</t>
  </si>
  <si>
    <t xml:space="preserve">Tidak Kawin, 1 tanggungan</t>
  </si>
  <si>
    <t xml:space="preserve">TK/2</t>
  </si>
  <si>
    <t xml:space="preserve">Tidak Kawin, 2 tanggungan</t>
  </si>
  <si>
    <t xml:space="preserve">TK/3</t>
  </si>
  <si>
    <t xml:space="preserve">Tidak Kawin, 3 tanggungan</t>
  </si>
  <si>
    <t xml:space="preserve">K/0</t>
  </si>
  <si>
    <t xml:space="preserve">Kawin, 0 tanggungan</t>
  </si>
  <si>
    <t xml:space="preserve">K/1</t>
  </si>
  <si>
    <t xml:space="preserve">Kawin, 1 tanggungan</t>
  </si>
  <si>
    <t xml:space="preserve">K/2</t>
  </si>
  <si>
    <t xml:space="preserve">Kawin, 2 tanggungan</t>
  </si>
  <si>
    <t xml:space="preserve">K/3</t>
  </si>
  <si>
    <t xml:space="preserve">Kawin, 3 tanggungan</t>
  </si>
  <si>
    <t xml:space="preserve">K/I/0</t>
  </si>
  <si>
    <t xml:space="preserve">Kawin, Istri bekerja, 0 tanggungan</t>
  </si>
  <si>
    <t xml:space="preserve">K/I/1</t>
  </si>
  <si>
    <t xml:space="preserve">Kawin, Istri bekerja, 1 tanggungan</t>
  </si>
  <si>
    <t xml:space="preserve">K/I/2</t>
  </si>
  <si>
    <t xml:space="preserve">Kawin, Istri bekerja, 2 tanggungan</t>
  </si>
  <si>
    <t xml:space="preserve">K/I/3</t>
  </si>
  <si>
    <t xml:space="preserve">Kawin, Istri bekerja, 3 tanggungan</t>
  </si>
  <si>
    <t xml:space="preserve">  📌 TARIF PPh PASAL 17 (Berlaku 2024-2025)</t>
  </si>
  <si>
    <t xml:space="preserve">LAPISAN PKP</t>
  </si>
  <si>
    <t xml:space="preserve">TARIF</t>
  </si>
  <si>
    <t xml:space="preserve">PPh MAKS PER LAPISAN</t>
  </si>
  <si>
    <t xml:space="preserve">Rp 0</t>
  </si>
  <si>
    <t xml:space="preserve">s.d.</t>
  </si>
  <si>
    <t xml:space="preserve">Rp 60 juta</t>
  </si>
  <si>
    <t xml:space="preserve">5%</t>
  </si>
  <si>
    <t xml:space="preserve">Rp 250 juta</t>
  </si>
  <si>
    <t xml:space="preserve">15%</t>
  </si>
  <si>
    <t xml:space="preserve">Rp 500 juta</t>
  </si>
  <si>
    <t xml:space="preserve">25%</t>
  </si>
  <si>
    <t xml:space="preserve">Rp 5 miliar</t>
  </si>
  <si>
    <t xml:space="preserve">30%</t>
  </si>
  <si>
    <t xml:space="preserve">1.350.000.000</t>
  </si>
  <si>
    <t xml:space="preserve">Di atas Rp 5 miliar</t>
  </si>
  <si>
    <t xml:space="preserve">-</t>
  </si>
  <si>
    <t xml:space="preserve">35%</t>
  </si>
  <si>
    <t xml:space="preserve">Tidak terbatas</t>
  </si>
  <si>
    <t xml:space="preserve">  📌 KALKULATOR ESTIMASI PAJAK (Isi data di kolom kuning)</t>
  </si>
  <si>
    <t xml:space="preserve">INPUT</t>
  </si>
  <si>
    <t xml:space="preserve">Total Penghasilan Bruto Setahun</t>
  </si>
  <si>
    <t xml:space="preserve">Ambil dari BPA1 baris 8</t>
  </si>
  <si>
    <t xml:space="preserve">Total Pengurang</t>
  </si>
  <si>
    <t xml:space="preserve">Biaya jabatan + iuran pensiun</t>
  </si>
  <si>
    <t xml:space="preserve">HITUNG</t>
  </si>
  <si>
    <t xml:space="preserve">Penghasilan Neto</t>
  </si>
  <si>
    <t xml:space="preserve">Otomatis = Bruto - Pengurang</t>
  </si>
  <si>
    <t xml:space="preserve">PTKP (sesuai status Anda)</t>
  </si>
  <si>
    <t xml:space="preserve">Lihat tabel PTKP di atas</t>
  </si>
  <si>
    <t xml:space="preserve">Otomatis = Neto - PTKP</t>
  </si>
  <si>
    <t xml:space="preserve">Estimasi PPh Terutang</t>
  </si>
  <si>
    <t xml:space="preserve">Dihitung dari tarif progresif</t>
  </si>
  <si>
    <t xml:space="preserve">PPh Dipotong Pemberi Kerja</t>
  </si>
  <si>
    <t xml:space="preserve">Ambil dari BPA1 baris 20/22</t>
  </si>
  <si>
    <t xml:space="preserve">SELISIH (Kurang / Lebih Bayar)</t>
  </si>
  <si>
    <t xml:space="preserve">Positif=Kurang Bayar, Negatif=Lebih Bayar</t>
  </si>
  <si>
    <t xml:space="preserve">🤖 Prompt Siap Pakai — Claude in Chrome untuk SPT Coretax</t>
  </si>
  <si>
    <t xml:space="preserve">Copy prompt di bawah ini dan paste ke Claude in Chrome saat sudah login di coretaxdjp.pajak.go.id</t>
  </si>
  <si>
    <t xml:space="preserve">⚠️ CARA PAKAI:</t>
  </si>
  <si>
    <t xml:space="preserve">1) Login dulu ke https://coretaxdjp.pajak.go.id</t>
  </si>
  <si>
    <t xml:space="preserve">2) Buka Claude in Chrome extension</t>
  </si>
  <si>
    <t xml:space="preserve">3) Copy seluruh prompt di kolom PROMPT, paste ke Claude in Chrome</t>
  </si>
  <si>
    <t xml:space="preserve">4) Ikuti instruksi step by step — Claude akan konfirmasi sebelum klik apapun</t>
  </si>
  <si>
    <t xml:space="preserve">NAMA PROMPT</t>
  </si>
  <si>
    <t xml:space="preserve">PROMPT (Copy isi sel ini sepenuhnya)</t>
  </si>
  <si>
    <t xml:space="preserve">KAPAN DIPAKAI</t>
  </si>
  <si>
    <t xml:space="preserve">PROMPT UTAMA
(Lapor SPT Lengkap)</t>
  </si>
  <si>
    <t xml:space="preserve">Kamu adalah asisten pajak saya. Tolong bantu saya mengisi dan melaporkan SPT Tahunan PPh Orang Pribadi Karyawan di website Coretax DJP yang sedang terbuka di browser ini.
KONTEKS:
- Saya adalah karyawan (pegawai tetap), bukan pengusaha
- SPT untuk Tahun Pajak 2025 (Januari – Desember 2025)
- Platform: https://coretaxdjp.pajak.go.id
INSTRUKSI UMUM:
- Kerjakan SATU LANGKAH per satu, tunggu konfirmasi saya sebelum lanjut
- Jika ada field/tombol yang tidak kamu yakini, tunjukkan ke saya dulu sebelum klik
- JANGAN klik "Bayar dan Lapor" tanpa persetujuan eksplisit dari saya
- Jika muncul error atau tampilan tidak sesuai panduan, screenshot dan beritahu saya
LANGKAH-LANGKAH:
[TAHAP 1 - PERSIAPAN BPA1]
1. Klik "Portal Saya" di menu atas
2. Pilih "Dokumen Saya"
3. Klik ikon refresh/filter untuk tampilkan semua dokumen
4. Cari dokumen "Bukti Potong PPh Pasal 21 A1 (BPA1)" tanggal 31-12-2025
5. Klik Unduh dan catat nilai: Penghasilan Bruto, PPh Dipotong, Penghasilan Neto
6. Beritahu saya bahwa BPA1 sudah tersedia beserta angka-angkanya
[TAHAP 2 - BUAT KONSEP SPT]
7. Klik menu "Surat Pemberitahuan (SPT)" → "Surat Pemberitahuan (SPT)"
8. Klik tombol "Buat SPT" atau "Buat Konsep"
9. Pilih Jenis Pajak: PPh OP
10. Klik Lanjut → Pilih "SPT Tahunan" → Periode "Januari 2025 – Desember 2025"
11. Klik Lanjut → pilih jenis SPT karyawan → Simpan
12. Konfirmasi ke saya bahwa konsep berhasil dibuat
[TAHAP 3 - ISI INDUK SPT]
13. Buka konsep dengan klik ikon Pensil (✏️)
14. Sumber Penghasilan → pilih "Pekerjaan"
15. Metode Pembukuan → pilih "Pencatatan"
16. TANYA ke saya setiap pertanyaan yang muncul sebelum menjawab
17. TANYA ke saya dulu sebelum memilih PTKP (saya akan beritahu status TK/K dan tanggungan)
[TAHAP 4 - VERIFIKASI DATA]
18. Pastikan sistem mengisi otomatis: Penghasilan Neto, PKP, PPh Terutang, Tabel BPA1
19. Screenshot dan tampilkan ringkasan:
    - Total Penghasilan Bruto
    - Penghasilan Neto
    - PTKP yang dipilih
    - PKP (Penghasilan Kena Pajak)
    - PPh Terutang
    - PPh Sudah Dipotong
    - STATUS: NIHIL / KURANG BAYAR / LEBIH BAYAR
20. TUNGGU konfirmasi dan persetujuan saya
[TAHAP 5 - LAPOR]
21. Setelah saya setujui ringkasan, centang pernyataan kebenaran
22. Klik "Simpan Konsep"
23. Baru klik "Bayar dan Lapor" SETELAH saya bilang OK
24. Download/screenshot BPE (Bukti Penerimaan Elektronik) sebagai bukti lapor
MULAI dari Langkah 1. Beritahu saya apa yang kamu lihat di layar saat ini.</t>
  </si>
  <si>
    <t xml:space="preserve">Dipakai saat mulai lapor SPT dari awal</t>
  </si>
  <si>
    <t xml:space="preserve">PROMPT UNDUH BPA1
(Jika hanya butuh unduh BPA1)</t>
  </si>
  <si>
    <t xml:space="preserve">Tolong bantu saya mengunduh Bukti Potong A1 (BPA1) dari portal Coretax ini.
Langkah:
1. Klik "Portal Saya" di menu navigasi atas
2. Pilih "Dokumen Saya"
3. Klik ikon refresh agar semua dokumen muncul
4. Cari dokumen bertuliskan "Bukti Potong PPh Pasal 21 A1 (BPA1)" dengan tanggal 31-12-2025
5. Klik tombol "Unduh" di sebelah kanan dokumen tersebut
6. Setelah terunduh, buka file PDF-nya dan catat angka-angka berikut:
   - Penghasilan Bruto Setahun (baris 8)
   - Biaya Jabatan / Pengurang (baris 9-12)
   - Penghasilan Neto (baris 13)
   - PTKP (baris 14-15)
   - PKP (baris 16)
   - PPh Terutang (baris 17/18)
   - PPh Dipotong (baris 20/22)
   - Selisih (baris 23)
7. Tampilkan semua angka tersebut ke saya dalam tabel yang rapi
Mulai sekarang dan beritahu saya apa yang terlihat di layar.</t>
  </si>
  <si>
    <t xml:space="preserve">Dipakai jika hanya ingin unduh BPA1 dulu</t>
  </si>
  <si>
    <t xml:space="preserve">PROMPT CEK STATUS SPT
(Cek apakah SPT sudah dilaporkan)</t>
  </si>
  <si>
    <t xml:space="preserve">Tolong cek status pelaporan SPT Tahunan saya di Coretax ini.
1. Klik menu "Surat Pemberitahuan (SPT)" → "SPT Dilaporkan"
2. Cari SPT Tahunan PPh OP untuk Tahun Pajak 2025
3. Tampilkan ke saya:
   - Status SPT (Dilaporkan / Belum / Ditolak)
   - Nomor Tanda Terima jika sudah dilaporkan
   - Tanggal pelaporan
   - Status pembayaran jika ada
Jika belum ada SPT dilaporkan, cek juga di "Konsep SPT" dan "SPT Menunggu Pembayaran".
Beritahu saya hasil pengecekan lengkapnya.</t>
  </si>
  <si>
    <t xml:space="preserve">Dipakai untuk cek apakah SPT sudah lapor</t>
  </si>
  <si>
    <t xml:space="preserve">👨‍👩‍👧 Data Tanggungan Keluarga &amp; Daftar Harta</t>
  </si>
  <si>
    <t xml:space="preserve">Opsional — isi jika memiliki tanggungan atau harta yang perlu dilaporkan di SPT</t>
  </si>
  <si>
    <t xml:space="preserve">  📌 DATA TANGGUNGAN (untuk menentukan PTKP)</t>
  </si>
  <si>
    <t xml:space="preserve">NAMA TANGGUNGAN</t>
  </si>
  <si>
    <t xml:space="preserve">HUBUNGAN</t>
  </si>
  <si>
    <t xml:space="preserve">TANGGAL LAHIR</t>
  </si>
  <si>
    <t xml:space="preserve">  📌 DAFTAR HARTA (opsional — untuk transparansi di SPT)</t>
  </si>
  <si>
    <t xml:space="preserve">JENIS HARTA</t>
  </si>
  <si>
    <t xml:space="preserve">KODE HARTA</t>
  </si>
  <si>
    <t xml:space="preserve">TAHUN PEROLEHAN</t>
  </si>
  <si>
    <t xml:space="preserve">NILAI (Rp)</t>
  </si>
  <si>
    <t xml:space="preserve">Kas &amp; setara kas (tabungan)</t>
  </si>
  <si>
    <t xml:space="preserve">011</t>
  </si>
  <si>
    <t xml:space="preserve">Kendaraan bermotor roda 2</t>
  </si>
  <si>
    <t xml:space="preserve">031</t>
  </si>
  <si>
    <t xml:space="preserve">Kendaraan bermotor roda 4</t>
  </si>
  <si>
    <t xml:space="preserve">032</t>
  </si>
  <si>
    <t xml:space="preserve">Rumah tinggal</t>
  </si>
  <si>
    <t xml:space="preserve">021</t>
  </si>
  <si>
    <t xml:space="preserve">Logam mulia (emas)</t>
  </si>
  <si>
    <t xml:space="preserve">041</t>
  </si>
  <si>
    <t xml:space="preserve">Saham/investasi</t>
  </si>
  <si>
    <t xml:space="preserve">061</t>
  </si>
</sst>
</file>

<file path=xl/styles.xml><?xml version="1.0" encoding="utf-8"?>
<styleSheet xmlns="http://schemas.openxmlformats.org/spreadsheetml/2006/main">
  <numFmts count="3">
    <numFmt numFmtId="164" formatCode="General"/>
    <numFmt numFmtId="165" formatCode="#,##0"/>
    <numFmt numFmtId="166" formatCode="&quot;Rp&quot;#,##0"/>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9"/>
      <color rgb="FF1F4E79"/>
      <name val="Arial"/>
      <family val="0"/>
      <charset val="1"/>
    </font>
    <font>
      <b val="true"/>
      <sz val="9"/>
      <color rgb="FF000000"/>
      <name val="Arial"/>
      <family val="0"/>
      <charset val="1"/>
    </font>
    <font>
      <b val="true"/>
      <sz val="11"/>
      <color rgb="FFFFFFFF"/>
      <name val="Arial"/>
      <family val="0"/>
      <charset val="1"/>
    </font>
    <font>
      <b val="true"/>
      <sz val="10"/>
      <color rgb="FF1F4E79"/>
      <name val="Arial"/>
      <family val="0"/>
      <charset val="1"/>
    </font>
    <font>
      <b val="true"/>
      <sz val="10"/>
      <color rgb="FF000000"/>
      <name val="Arial"/>
      <family val="0"/>
      <charset val="1"/>
    </font>
    <font>
      <sz val="10"/>
      <color rgb="FF000000"/>
      <name val="Arial"/>
      <family val="0"/>
      <charset val="1"/>
    </font>
    <font>
      <i val="true"/>
      <sz val="8"/>
      <color rgb="FF595959"/>
      <name val="Arial"/>
      <family val="0"/>
      <charset val="1"/>
    </font>
    <font>
      <b val="true"/>
      <sz val="8"/>
      <color rgb="FFFF0000"/>
      <name val="Arial"/>
      <family val="0"/>
      <charset val="1"/>
    </font>
    <font>
      <b val="true"/>
      <sz val="8"/>
      <color rgb="FF70AD47"/>
      <name val="Arial"/>
      <family val="0"/>
      <charset val="1"/>
    </font>
    <font>
      <sz val="10"/>
      <color rgb="FF1F4E79"/>
      <name val="Arial"/>
      <family val="0"/>
      <charset val="1"/>
    </font>
    <font>
      <b val="true"/>
      <sz val="10"/>
      <color rgb="FFFF0000"/>
      <name val="Arial"/>
      <family val="0"/>
      <charset val="1"/>
    </font>
    <font>
      <b val="true"/>
      <sz val="8"/>
      <color rgb="FF375623"/>
      <name val="Arial"/>
      <family val="0"/>
      <charset val="1"/>
    </font>
    <font>
      <sz val="8.5"/>
      <name val="Courier New"/>
      <family val="0"/>
      <charset val="1"/>
    </font>
    <font>
      <i val="true"/>
      <sz val="9"/>
      <color rgb="FF000000"/>
      <name val="Arial"/>
      <family val="0"/>
      <charset val="1"/>
    </font>
  </fonts>
  <fills count="12">
    <fill>
      <patternFill patternType="none"/>
    </fill>
    <fill>
      <patternFill patternType="gray125"/>
    </fill>
    <fill>
      <patternFill patternType="solid">
        <fgColor rgb="FF1F4E79"/>
        <bgColor rgb="FF003366"/>
      </patternFill>
    </fill>
    <fill>
      <patternFill patternType="solid">
        <fgColor rgb="FFF2F7FB"/>
        <bgColor rgb="FFFFFFFF"/>
      </patternFill>
    </fill>
    <fill>
      <patternFill patternType="solid">
        <fgColor rgb="FFD6E4F0"/>
        <bgColor rgb="FFE2EFDA"/>
      </patternFill>
    </fill>
    <fill>
      <patternFill patternType="solid">
        <fgColor rgb="FFFFFFFF"/>
        <bgColor rgb="FFFFFDE7"/>
      </patternFill>
    </fill>
    <fill>
      <patternFill patternType="solid">
        <fgColor rgb="FF2E75B6"/>
        <bgColor rgb="FF0066CC"/>
      </patternFill>
    </fill>
    <fill>
      <patternFill patternType="solid">
        <fgColor rgb="FFFFF2CC"/>
        <bgColor rgb="FFFFFDE7"/>
      </patternFill>
    </fill>
    <fill>
      <patternFill patternType="solid">
        <fgColor rgb="FFFF0000"/>
        <bgColor rgb="FF800000"/>
      </patternFill>
    </fill>
    <fill>
      <patternFill patternType="solid">
        <fgColor rgb="FFFFFDE7"/>
        <bgColor rgb="FFFFFFFF"/>
      </patternFill>
    </fill>
    <fill>
      <patternFill patternType="solid">
        <fgColor rgb="FFE2EFDA"/>
        <bgColor rgb="FFD6E4F0"/>
      </patternFill>
    </fill>
    <fill>
      <patternFill patternType="solid">
        <fgColor rgb="FFFFEB9C"/>
        <bgColor rgb="FFFFF2CC"/>
      </patternFill>
    </fill>
  </fills>
  <borders count="5">
    <border diagonalUp="false" diagonalDown="false">
      <left/>
      <right/>
      <top/>
      <bottom/>
      <diagonal/>
    </border>
    <border diagonalUp="false" diagonalDown="false">
      <left style="thin">
        <color rgb="FFBDD7EE"/>
      </left>
      <right style="thin">
        <color rgb="FFBDD7EE"/>
      </right>
      <top style="thin">
        <color rgb="FFBDD7EE"/>
      </top>
      <bottom style="thin">
        <color rgb="FFBDD7EE"/>
      </bottom>
      <diagonal/>
    </border>
    <border diagonalUp="false" diagonalDown="false">
      <left style="thin">
        <color rgb="FFBDD7EE"/>
      </left>
      <right/>
      <top style="thin">
        <color rgb="FFBDD7EE"/>
      </top>
      <bottom style="thin">
        <color rgb="FFBDD7EE"/>
      </bottom>
      <diagonal/>
    </border>
    <border diagonalUp="false" diagonalDown="false">
      <left style="medium">
        <color rgb="FF1F4E79"/>
      </left>
      <right style="medium">
        <color rgb="FF1F4E79"/>
      </right>
      <top style="medium">
        <color rgb="FF1F4E79"/>
      </top>
      <bottom style="medium">
        <color rgb="FF1F4E79"/>
      </bottom>
      <diagonal/>
    </border>
    <border diagonalUp="false" diagonalDown="false">
      <left style="medium">
        <color rgb="FF1F4E79"/>
      </left>
      <right/>
      <top style="medium">
        <color rgb="FF1F4E79"/>
      </top>
      <bottom style="medium">
        <color rgb="FF1F4E7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left" vertical="center" textRotation="0" wrapText="tru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3" borderId="2" xfId="0" applyFont="true" applyBorder="true" applyAlignment="true" applyProtection="false">
      <alignment horizontal="left" vertical="center" textRotation="0" wrapText="true" indent="0" shrinkToFit="false"/>
      <protection locked="true" hidden="false"/>
    </xf>
    <xf numFmtId="164" fontId="11" fillId="3" borderId="2" xfId="0" applyFont="true" applyBorder="true" applyAlignment="true" applyProtection="false">
      <alignment horizontal="left" vertical="center"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5" fillId="7" borderId="2" xfId="0" applyFont="true" applyBorder="true" applyAlignment="true" applyProtection="false">
      <alignment horizontal="left" vertical="center" textRotation="0" wrapText="true" indent="0" shrinkToFit="false"/>
      <protection locked="true" hidden="false"/>
    </xf>
    <xf numFmtId="164" fontId="9" fillId="9" borderId="3"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4" fontId="9" fillId="3" borderId="3" xfId="0" applyFont="true" applyBorder="true" applyAlignment="true" applyProtection="false">
      <alignment horizontal="left" vertical="center" textRotation="0" wrapText="true" indent="0" shrinkToFit="false"/>
      <protection locked="true" hidden="false"/>
    </xf>
    <xf numFmtId="164" fontId="0" fillId="9" borderId="4" xfId="0" applyFont="false" applyBorder="true" applyAlignment="false" applyProtection="false">
      <alignment horizontal="general" vertical="bottom" textRotation="0" wrapText="false" indent="0" shrinkToFit="false"/>
      <protection locked="true" hidden="false"/>
    </xf>
    <xf numFmtId="164" fontId="5" fillId="5" borderId="2" xfId="0" applyFont="true" applyBorder="true" applyAlignment="true" applyProtection="false">
      <alignment horizontal="left"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5" fontId="15" fillId="9" borderId="4" xfId="0" applyFont="true" applyBorder="true" applyAlignment="true" applyProtection="false">
      <alignment horizontal="right"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4" fontId="5" fillId="4" borderId="2" xfId="0" applyFont="true" applyBorder="true" applyAlignment="true" applyProtection="false">
      <alignment horizontal="left" vertical="center" textRotation="0" wrapText="true" indent="0" shrinkToFit="false"/>
      <protection locked="true" hidden="false"/>
    </xf>
    <xf numFmtId="165" fontId="9" fillId="4" borderId="4" xfId="0" applyFont="true" applyBorder="true" applyAlignment="true" applyProtection="false">
      <alignment horizontal="right"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6" fontId="9" fillId="3" borderId="2" xfId="0" applyFont="true" applyBorder="true" applyAlignment="true" applyProtection="false">
      <alignment horizontal="right"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6" fontId="9" fillId="5" borderId="2" xfId="0" applyFont="true" applyBorder="true" applyAlignment="true" applyProtection="false">
      <alignment horizontal="right"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right"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right" vertical="center" textRotation="0" wrapText="false" indent="0" shrinkToFit="false"/>
      <protection locked="true" hidden="false"/>
    </xf>
    <xf numFmtId="164" fontId="13" fillId="7" borderId="2" xfId="0" applyFont="true" applyBorder="true" applyAlignment="true" applyProtection="false">
      <alignment horizontal="center" vertical="center" textRotation="0" wrapText="true" indent="0" shrinkToFit="false"/>
      <protection locked="true" hidden="false"/>
    </xf>
    <xf numFmtId="164" fontId="10" fillId="9" borderId="2" xfId="0" applyFont="true" applyBorder="true" applyAlignment="true" applyProtection="false">
      <alignment horizontal="left" vertical="center" textRotation="0" wrapText="true" indent="0" shrinkToFit="false"/>
      <protection locked="true" hidden="false"/>
    </xf>
    <xf numFmtId="166" fontId="9" fillId="9" borderId="3" xfId="0" applyFont="true" applyBorder="true" applyAlignment="true" applyProtection="false">
      <alignment horizontal="right" vertical="center" textRotation="0" wrapText="fals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17" fillId="10" borderId="2" xfId="0" applyFont="true" applyBorder="true" applyAlignment="true" applyProtection="false">
      <alignment horizontal="center" vertical="center" textRotation="0" wrapText="true" indent="0" shrinkToFit="false"/>
      <protection locked="true" hidden="false"/>
    </xf>
    <xf numFmtId="164" fontId="10" fillId="10" borderId="2" xfId="0" applyFont="true" applyBorder="true" applyAlignment="true" applyProtection="false">
      <alignment horizontal="left" vertical="center" textRotation="0" wrapText="true" indent="0" shrinkToFit="false"/>
      <protection locked="true" hidden="false"/>
    </xf>
    <xf numFmtId="166" fontId="9" fillId="10" borderId="3" xfId="0" applyFont="true" applyBorder="true" applyAlignment="true" applyProtection="false">
      <alignment horizontal="right" vertical="center" textRotation="0" wrapText="fals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4" fontId="16" fillId="11" borderId="2" xfId="0" applyFont="true" applyBorder="true" applyAlignment="true" applyProtection="false">
      <alignment horizontal="left" vertical="center" textRotation="0" wrapText="true" indent="0" shrinkToFit="false"/>
      <protection locked="true" hidden="false"/>
    </xf>
    <xf numFmtId="164" fontId="11" fillId="11" borderId="2"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18" fillId="9" borderId="4" xfId="0" applyFont="true" applyBorder="true" applyAlignment="true" applyProtection="false">
      <alignment horizontal="left" vertical="top" textRotation="0" wrapText="true" indent="0" shrinkToFit="false"/>
      <protection locked="true" hidden="false"/>
    </xf>
    <xf numFmtId="164" fontId="19" fillId="3" borderId="1" xfId="0" applyFont="true" applyBorder="true" applyAlignment="true" applyProtection="false">
      <alignment horizontal="left" vertical="top" textRotation="0" wrapText="true" indent="0" shrinkToFit="false"/>
      <protection locked="true" hidden="false"/>
    </xf>
    <xf numFmtId="164" fontId="19"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0" fillId="9" borderId="3" xfId="0" applyFont="fals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DE7"/>
      <rgbColor rgb="FFF2F7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6E4F0"/>
      <rgbColor rgb="FFE2EFDA"/>
      <rgbColor rgb="FFFFEB9C"/>
      <rgbColor rgb="FF99CCFF"/>
      <rgbColor rgb="FFFF99CC"/>
      <rgbColor rgb="FFCC99FF"/>
      <rgbColor rgb="FFFFF2CC"/>
      <rgbColor rgb="FF2E75B6"/>
      <rgbColor rgb="FF33CCCC"/>
      <rgbColor rgb="FF99CC00"/>
      <rgbColor rgb="FFFFCC00"/>
      <rgbColor rgb="FFFF9900"/>
      <rgbColor rgb="FFFF7F00"/>
      <rgbColor rgb="FF595959"/>
      <rgbColor rgb="FF70AD47"/>
      <rgbColor rgb="FF003366"/>
      <rgbColor rgb="FF339966"/>
      <rgbColor rgb="FF003300"/>
      <rgbColor rgb="FF333300"/>
      <rgbColor rgb="FFC55A11"/>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H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8"/>
    <col collapsed="false" customWidth="true" hidden="false" outlineLevel="0" max="4" min="4" style="0" width="35"/>
    <col collapsed="false" customWidth="true" hidden="false" outlineLevel="0" max="5" min="5" style="0" width="15"/>
    <col collapsed="false" customWidth="true" hidden="false" outlineLevel="0" max="6" min="6" style="0" width="14"/>
    <col collapsed="false" customWidth="true" hidden="false" outlineLevel="0" max="7" min="7" style="0" width="25"/>
    <col collapsed="false" customWidth="true" hidden="false" outlineLevel="0" max="8" min="8" style="0" width="20"/>
  </cols>
  <sheetData>
    <row r="1" customFormat="false" ht="27.75" hidden="false" customHeight="true" outlineLevel="0" collapsed="false">
      <c r="A1" s="1" t="s">
        <v>0</v>
      </c>
      <c r="B1" s="1"/>
      <c r="C1" s="1"/>
      <c r="D1" s="1"/>
      <c r="E1" s="1"/>
      <c r="F1" s="1"/>
      <c r="G1" s="1"/>
      <c r="H1" s="1"/>
    </row>
    <row r="2" customFormat="false" ht="15.75" hidden="false" customHeight="true" outlineLevel="0" collapsed="false">
      <c r="A2" s="2" t="s">
        <v>1</v>
      </c>
      <c r="B2" s="2"/>
      <c r="C2" s="2"/>
      <c r="D2" s="2"/>
      <c r="E2" s="2"/>
      <c r="F2" s="2"/>
      <c r="G2" s="2"/>
      <c r="H2" s="2"/>
    </row>
    <row r="3" customFormat="false" ht="6" hidden="false" customHeight="true" outlineLevel="0" collapsed="false"/>
    <row r="4" customFormat="false" ht="32.8" hidden="false" customHeight="true" outlineLevel="0" collapsed="false">
      <c r="A4" s="3" t="s">
        <v>2</v>
      </c>
      <c r="B4" s="4" t="s">
        <v>3</v>
      </c>
      <c r="C4" s="4"/>
      <c r="D4" s="4"/>
    </row>
    <row r="5" customFormat="false" ht="53.7" hidden="false" customHeight="true" outlineLevel="0" collapsed="false">
      <c r="A5" s="3" t="s">
        <v>4</v>
      </c>
      <c r="B5" s="4" t="s">
        <v>5</v>
      </c>
      <c r="C5" s="4"/>
      <c r="D5" s="4"/>
    </row>
    <row r="6" customFormat="false" ht="22.35" hidden="false" customHeight="true" outlineLevel="0" collapsed="false">
      <c r="A6" s="3" t="s">
        <v>6</v>
      </c>
      <c r="B6" s="4" t="s">
        <v>7</v>
      </c>
      <c r="C6" s="4"/>
      <c r="D6" s="4"/>
    </row>
    <row r="7" customFormat="false" ht="32.8" hidden="false" customHeight="true" outlineLevel="0" collapsed="false">
      <c r="A7" s="3" t="s">
        <v>8</v>
      </c>
      <c r="B7" s="4" t="s">
        <v>9</v>
      </c>
      <c r="C7" s="4"/>
      <c r="D7" s="4"/>
    </row>
    <row r="8" customFormat="false" ht="32.8" hidden="false" customHeight="true" outlineLevel="0" collapsed="false">
      <c r="A8" s="3" t="s">
        <v>10</v>
      </c>
      <c r="B8" s="4" t="s">
        <v>11</v>
      </c>
      <c r="C8" s="4"/>
      <c r="D8" s="4"/>
    </row>
    <row r="10" customFormat="false" ht="21.75" hidden="false" customHeight="true" outlineLevel="0" collapsed="false">
      <c r="A10" s="5" t="s">
        <v>12</v>
      </c>
      <c r="B10" s="5" t="s">
        <v>13</v>
      </c>
      <c r="C10" s="5"/>
      <c r="D10" s="5" t="s">
        <v>14</v>
      </c>
      <c r="E10" s="5"/>
      <c r="F10" s="5" t="s">
        <v>15</v>
      </c>
      <c r="G10" s="5" t="s">
        <v>16</v>
      </c>
      <c r="H10" s="5"/>
    </row>
    <row r="11" customFormat="false" ht="19.5" hidden="false" customHeight="true" outlineLevel="0" collapsed="false">
      <c r="A11" s="6" t="n">
        <v>1</v>
      </c>
      <c r="B11" s="7" t="s">
        <v>17</v>
      </c>
      <c r="C11" s="7"/>
      <c r="D11" s="8" t="s">
        <v>18</v>
      </c>
      <c r="E11" s="8"/>
      <c r="F11" s="9" t="s">
        <v>19</v>
      </c>
      <c r="G11" s="10"/>
      <c r="H11" s="10"/>
    </row>
    <row r="12" customFormat="false" ht="19.5" hidden="false" customHeight="true" outlineLevel="0" collapsed="false">
      <c r="A12" s="11" t="n">
        <v>2</v>
      </c>
      <c r="B12" s="12" t="s">
        <v>20</v>
      </c>
      <c r="C12" s="12"/>
      <c r="D12" s="13" t="s">
        <v>21</v>
      </c>
      <c r="E12" s="13"/>
      <c r="F12" s="9" t="s">
        <v>19</v>
      </c>
      <c r="G12" s="14"/>
      <c r="H12" s="14"/>
    </row>
    <row r="13" customFormat="false" ht="19.5" hidden="false" customHeight="true" outlineLevel="0" collapsed="false">
      <c r="A13" s="6" t="n">
        <v>3</v>
      </c>
      <c r="B13" s="7" t="s">
        <v>22</v>
      </c>
      <c r="C13" s="7"/>
      <c r="D13" s="8" t="s">
        <v>23</v>
      </c>
      <c r="E13" s="8"/>
      <c r="F13" s="9" t="s">
        <v>19</v>
      </c>
      <c r="G13" s="10"/>
      <c r="H13" s="10"/>
    </row>
    <row r="14" customFormat="false" ht="19.5" hidden="false" customHeight="true" outlineLevel="0" collapsed="false">
      <c r="A14" s="11" t="n">
        <v>4</v>
      </c>
      <c r="B14" s="12" t="s">
        <v>24</v>
      </c>
      <c r="C14" s="12"/>
      <c r="D14" s="13" t="s">
        <v>25</v>
      </c>
      <c r="E14" s="13"/>
      <c r="F14" s="9" t="s">
        <v>19</v>
      </c>
      <c r="G14" s="14"/>
      <c r="H14" s="14"/>
    </row>
    <row r="15" customFormat="false" ht="19.5" hidden="false" customHeight="true" outlineLevel="0" collapsed="false">
      <c r="A15" s="6" t="n">
        <v>5</v>
      </c>
      <c r="B15" s="7" t="s">
        <v>26</v>
      </c>
      <c r="C15" s="7"/>
      <c r="D15" s="8" t="s">
        <v>27</v>
      </c>
      <c r="E15" s="8"/>
      <c r="F15" s="9" t="s">
        <v>19</v>
      </c>
      <c r="G15" s="10"/>
      <c r="H15" s="10"/>
    </row>
    <row r="16" customFormat="false" ht="19.5" hidden="false" customHeight="true" outlineLevel="0" collapsed="false">
      <c r="A16" s="11" t="n">
        <v>6</v>
      </c>
      <c r="B16" s="12" t="s">
        <v>28</v>
      </c>
      <c r="C16" s="12"/>
      <c r="D16" s="13" t="s">
        <v>29</v>
      </c>
      <c r="E16" s="13"/>
      <c r="F16" s="9" t="s">
        <v>19</v>
      </c>
      <c r="G16" s="14"/>
      <c r="H16" s="14"/>
    </row>
    <row r="17" customFormat="false" ht="19.5" hidden="false" customHeight="true" outlineLevel="0" collapsed="false">
      <c r="A17" s="6" t="n">
        <v>7</v>
      </c>
      <c r="B17" s="7" t="s">
        <v>30</v>
      </c>
      <c r="C17" s="7"/>
      <c r="D17" s="8" t="s">
        <v>31</v>
      </c>
      <c r="E17" s="8"/>
      <c r="F17" s="9" t="s">
        <v>19</v>
      </c>
      <c r="G17" s="10"/>
      <c r="H17" s="10"/>
    </row>
    <row r="18" customFormat="false" ht="19.5" hidden="false" customHeight="true" outlineLevel="0" collapsed="false">
      <c r="A18" s="11" t="n">
        <v>8</v>
      </c>
      <c r="B18" s="12" t="s">
        <v>32</v>
      </c>
      <c r="C18" s="12"/>
      <c r="D18" s="13" t="s">
        <v>33</v>
      </c>
      <c r="E18" s="13"/>
      <c r="F18" s="9" t="s">
        <v>19</v>
      </c>
      <c r="G18" s="14"/>
      <c r="H18" s="14"/>
    </row>
    <row r="19" customFormat="false" ht="19.5" hidden="false" customHeight="true" outlineLevel="0" collapsed="false">
      <c r="A19" s="6" t="n">
        <v>9</v>
      </c>
      <c r="B19" s="7" t="s">
        <v>34</v>
      </c>
      <c r="C19" s="7"/>
      <c r="D19" s="8" t="s">
        <v>35</v>
      </c>
      <c r="E19" s="8"/>
      <c r="F19" s="9" t="s">
        <v>19</v>
      </c>
      <c r="G19" s="10"/>
      <c r="H19" s="10"/>
    </row>
    <row r="20" customFormat="false" ht="19.5" hidden="false" customHeight="true" outlineLevel="0" collapsed="false">
      <c r="A20" s="11" t="n">
        <v>10</v>
      </c>
      <c r="B20" s="12" t="s">
        <v>36</v>
      </c>
      <c r="C20" s="12"/>
      <c r="D20" s="13" t="s">
        <v>37</v>
      </c>
      <c r="E20" s="13"/>
      <c r="F20" s="9" t="s">
        <v>19</v>
      </c>
      <c r="G20" s="14"/>
      <c r="H20" s="14"/>
    </row>
    <row r="21" customFormat="false" ht="19.5" hidden="false" customHeight="true" outlineLevel="0" collapsed="false">
      <c r="A21" s="6" t="n">
        <v>11</v>
      </c>
      <c r="B21" s="7" t="s">
        <v>38</v>
      </c>
      <c r="C21" s="7"/>
      <c r="D21" s="8" t="s">
        <v>39</v>
      </c>
      <c r="E21" s="8"/>
      <c r="F21" s="9" t="s">
        <v>19</v>
      </c>
      <c r="G21" s="10"/>
      <c r="H21" s="10"/>
    </row>
  </sheetData>
  <mergeCells count="43">
    <mergeCell ref="A1:H1"/>
    <mergeCell ref="A2:H2"/>
    <mergeCell ref="B4:D4"/>
    <mergeCell ref="B5:D5"/>
    <mergeCell ref="B6:D6"/>
    <mergeCell ref="B7:D7"/>
    <mergeCell ref="B8:D8"/>
    <mergeCell ref="B10:C10"/>
    <mergeCell ref="D10:E10"/>
    <mergeCell ref="G10:H10"/>
    <mergeCell ref="B11:C11"/>
    <mergeCell ref="D11:E11"/>
    <mergeCell ref="G11:H11"/>
    <mergeCell ref="B12:C12"/>
    <mergeCell ref="D12:E12"/>
    <mergeCell ref="G12:H12"/>
    <mergeCell ref="B13:C13"/>
    <mergeCell ref="D13:E13"/>
    <mergeCell ref="G13:H13"/>
    <mergeCell ref="B14:C14"/>
    <mergeCell ref="D14:E14"/>
    <mergeCell ref="G14:H14"/>
    <mergeCell ref="B15:C15"/>
    <mergeCell ref="D15:E15"/>
    <mergeCell ref="G15:H15"/>
    <mergeCell ref="B16:C16"/>
    <mergeCell ref="D16:E16"/>
    <mergeCell ref="G16:H16"/>
    <mergeCell ref="B17:C17"/>
    <mergeCell ref="D17:E17"/>
    <mergeCell ref="G17:H17"/>
    <mergeCell ref="B18:C18"/>
    <mergeCell ref="D18:E18"/>
    <mergeCell ref="G18:H18"/>
    <mergeCell ref="B19:C19"/>
    <mergeCell ref="D19:E19"/>
    <mergeCell ref="G19:H19"/>
    <mergeCell ref="B20:C20"/>
    <mergeCell ref="D20:E20"/>
    <mergeCell ref="G20:H20"/>
    <mergeCell ref="B21:C21"/>
    <mergeCell ref="D21:E21"/>
    <mergeCell ref="G21:H21"/>
  </mergeCells>
  <dataValidations count="11">
    <dataValidation allowBlank="false" errorStyle="stop" operator="between" showDropDown="false" showErrorMessage="false" showInputMessage="false" sqref="F11" type="list">
      <formula1>"⬜ Belum,🔄 Sedang,✅ Selesai,⚠️ Perlu Cek"</formula1>
      <formula2>0</formula2>
    </dataValidation>
    <dataValidation allowBlank="false" errorStyle="stop" operator="between" showDropDown="false" showErrorMessage="false" showInputMessage="false" sqref="F12" type="list">
      <formula1>"⬜ Belum,🔄 Sedang,✅ Selesai,⚠️ Perlu Cek"</formula1>
      <formula2>0</formula2>
    </dataValidation>
    <dataValidation allowBlank="false" errorStyle="stop" operator="between" showDropDown="false" showErrorMessage="false" showInputMessage="false" sqref="F13" type="list">
      <formula1>"⬜ Belum,🔄 Sedang,✅ Selesai,⚠️ Perlu Cek"</formula1>
      <formula2>0</formula2>
    </dataValidation>
    <dataValidation allowBlank="false" errorStyle="stop" operator="between" showDropDown="false" showErrorMessage="false" showInputMessage="false" sqref="F14" type="list">
      <formula1>"⬜ Belum,🔄 Sedang,✅ Selesai,⚠️ Perlu Cek"</formula1>
      <formula2>0</formula2>
    </dataValidation>
    <dataValidation allowBlank="false" errorStyle="stop" operator="between" showDropDown="false" showErrorMessage="false" showInputMessage="false" sqref="F15" type="list">
      <formula1>"⬜ Belum,🔄 Sedang,✅ Selesai,⚠️ Perlu Cek"</formula1>
      <formula2>0</formula2>
    </dataValidation>
    <dataValidation allowBlank="false" errorStyle="stop" operator="between" showDropDown="false" showErrorMessage="false" showInputMessage="false" sqref="F16" type="list">
      <formula1>"⬜ Belum,🔄 Sedang,✅ Selesai,⚠️ Perlu Cek"</formula1>
      <formula2>0</formula2>
    </dataValidation>
    <dataValidation allowBlank="false" errorStyle="stop" operator="between" showDropDown="false" showErrorMessage="false" showInputMessage="false" sqref="F17" type="list">
      <formula1>"⬜ Belum,🔄 Sedang,✅ Selesai,⚠️ Perlu Cek"</formula1>
      <formula2>0</formula2>
    </dataValidation>
    <dataValidation allowBlank="false" errorStyle="stop" operator="between" showDropDown="false" showErrorMessage="false" showInputMessage="false" sqref="F18" type="list">
      <formula1>"⬜ Belum,🔄 Sedang,✅ Selesai,⚠️ Perlu Cek"</formula1>
      <formula2>0</formula2>
    </dataValidation>
    <dataValidation allowBlank="false" errorStyle="stop" operator="between" showDropDown="false" showErrorMessage="false" showInputMessage="false" sqref="F19" type="list">
      <formula1>"⬜ Belum,🔄 Sedang,✅ Selesai,⚠️ Perlu Cek"</formula1>
      <formula2>0</formula2>
    </dataValidation>
    <dataValidation allowBlank="false" errorStyle="stop" operator="between" showDropDown="false" showErrorMessage="false" showInputMessage="false" sqref="F20" type="list">
      <formula1>"⬜ Belum,🔄 Sedang,✅ Selesai,⚠️ Perlu Cek"</formula1>
      <formula2>0</formula2>
    </dataValidation>
    <dataValidation allowBlank="false" errorStyle="stop" operator="between" showDropDown="false" showErrorMessage="false" showInputMessage="false" sqref="F21" type="list">
      <formula1>"⬜ Belum,🔄 Sedang,✅ Selesai,⚠️ Perlu Cek"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
    <col collapsed="false" customWidth="true" hidden="false" outlineLevel="0" max="3" min="3" style="0" width="22"/>
    <col collapsed="false" customWidth="true" hidden="false" outlineLevel="0" max="4" min="4" style="0" width="12"/>
    <col collapsed="false" customWidth="true" hidden="false" outlineLevel="0" max="5" min="5" style="0" width="9"/>
    <col collapsed="false" customWidth="true" hidden="false" outlineLevel="0" max="6" min="6" style="0" width="38"/>
    <col collapsed="false" customWidth="true" hidden="false" outlineLevel="0" max="7" min="7" style="0" width="10"/>
    <col collapsed="false" customWidth="true" hidden="false" outlineLevel="0" max="8" min="8" style="0" width="30"/>
  </cols>
  <sheetData>
    <row r="1" customFormat="false" ht="27.75" hidden="false" customHeight="true" outlineLevel="0" collapsed="false">
      <c r="A1" s="1" t="s">
        <v>40</v>
      </c>
      <c r="B1" s="1"/>
      <c r="C1" s="1"/>
      <c r="D1" s="1"/>
      <c r="E1" s="1"/>
      <c r="F1" s="1"/>
      <c r="G1" s="1"/>
      <c r="H1" s="1"/>
    </row>
    <row r="2" customFormat="false" ht="15.75" hidden="false" customHeight="true" outlineLevel="0" collapsed="false">
      <c r="A2" s="2" t="s">
        <v>41</v>
      </c>
      <c r="B2" s="2"/>
      <c r="C2" s="2"/>
      <c r="D2" s="2"/>
      <c r="E2" s="2"/>
      <c r="F2" s="2"/>
      <c r="G2" s="2"/>
      <c r="H2" s="2"/>
    </row>
    <row r="4" customFormat="false" ht="21.75" hidden="false" customHeight="true" outlineLevel="0" collapsed="false">
      <c r="A4" s="5" t="s">
        <v>42</v>
      </c>
      <c r="B4" s="5" t="s">
        <v>12</v>
      </c>
      <c r="C4" s="5" t="s">
        <v>43</v>
      </c>
      <c r="D4" s="5"/>
      <c r="E4" s="5" t="s">
        <v>44</v>
      </c>
      <c r="F4" s="5" t="s">
        <v>45</v>
      </c>
      <c r="G4" s="5"/>
      <c r="H4" s="15" t="s">
        <v>46</v>
      </c>
    </row>
    <row r="5" customFormat="false" ht="18" hidden="false" customHeight="true" outlineLevel="0" collapsed="false">
      <c r="A5" s="16" t="s">
        <v>47</v>
      </c>
      <c r="B5" s="16"/>
      <c r="C5" s="16"/>
      <c r="D5" s="16"/>
      <c r="E5" s="16"/>
      <c r="F5" s="16"/>
      <c r="G5" s="16"/>
      <c r="H5" s="16"/>
    </row>
    <row r="6" customFormat="false" ht="18" hidden="false" customHeight="true" outlineLevel="0" collapsed="false">
      <c r="A6" s="17" t="s">
        <v>48</v>
      </c>
      <c r="B6" s="18" t="n">
        <v>1</v>
      </c>
      <c r="C6" s="19" t="s">
        <v>49</v>
      </c>
      <c r="D6" s="19"/>
      <c r="E6" s="20" t="s">
        <v>44</v>
      </c>
      <c r="F6" s="21" t="s">
        <v>50</v>
      </c>
      <c r="G6" s="21"/>
      <c r="H6" s="22"/>
    </row>
    <row r="7" customFormat="false" ht="18" hidden="false" customHeight="true" outlineLevel="0" collapsed="false">
      <c r="A7" s="17" t="s">
        <v>48</v>
      </c>
      <c r="B7" s="18" t="n">
        <v>2</v>
      </c>
      <c r="C7" s="19" t="s">
        <v>51</v>
      </c>
      <c r="D7" s="19"/>
      <c r="E7" s="20" t="s">
        <v>44</v>
      </c>
      <c r="F7" s="21" t="s">
        <v>52</v>
      </c>
      <c r="G7" s="21"/>
      <c r="H7" s="22"/>
    </row>
    <row r="8" customFormat="false" ht="18" hidden="false" customHeight="true" outlineLevel="0" collapsed="false">
      <c r="A8" s="17" t="s">
        <v>48</v>
      </c>
      <c r="B8" s="18" t="n">
        <v>3</v>
      </c>
      <c r="C8" s="19" t="s">
        <v>53</v>
      </c>
      <c r="D8" s="19"/>
      <c r="E8" s="20" t="s">
        <v>44</v>
      </c>
      <c r="F8" s="21" t="s">
        <v>54</v>
      </c>
      <c r="G8" s="21"/>
      <c r="H8" s="22"/>
    </row>
    <row r="9" customFormat="false" ht="18" hidden="false" customHeight="true" outlineLevel="0" collapsed="false">
      <c r="A9" s="17" t="s">
        <v>48</v>
      </c>
      <c r="B9" s="18" t="n">
        <v>4</v>
      </c>
      <c r="C9" s="19" t="s">
        <v>8</v>
      </c>
      <c r="D9" s="19"/>
      <c r="E9" s="20" t="s">
        <v>44</v>
      </c>
      <c r="F9" s="21" t="s">
        <v>55</v>
      </c>
      <c r="G9" s="21"/>
      <c r="H9" s="22" t="s">
        <v>56</v>
      </c>
    </row>
    <row r="10" customFormat="false" ht="18" hidden="false" customHeight="true" outlineLevel="0" collapsed="false">
      <c r="A10" s="17" t="s">
        <v>48</v>
      </c>
      <c r="B10" s="18" t="n">
        <v>5</v>
      </c>
      <c r="C10" s="19" t="s">
        <v>57</v>
      </c>
      <c r="D10" s="19"/>
      <c r="E10" s="20" t="s">
        <v>44</v>
      </c>
      <c r="F10" s="21" t="s">
        <v>58</v>
      </c>
      <c r="G10" s="21"/>
      <c r="H10" s="22"/>
    </row>
    <row r="11" customFormat="false" ht="18" hidden="false" customHeight="true" outlineLevel="0" collapsed="false">
      <c r="A11" s="17" t="s">
        <v>48</v>
      </c>
      <c r="B11" s="18" t="n">
        <v>6</v>
      </c>
      <c r="C11" s="19" t="s">
        <v>59</v>
      </c>
      <c r="D11" s="19"/>
      <c r="E11" s="20" t="s">
        <v>44</v>
      </c>
      <c r="F11" s="21" t="s">
        <v>60</v>
      </c>
      <c r="G11" s="21"/>
      <c r="H11" s="22" t="s">
        <v>61</v>
      </c>
    </row>
    <row r="12" customFormat="false" ht="18" hidden="false" customHeight="true" outlineLevel="0" collapsed="false">
      <c r="A12" s="17" t="s">
        <v>48</v>
      </c>
      <c r="B12" s="18" t="n">
        <v>7</v>
      </c>
      <c r="C12" s="19" t="s">
        <v>62</v>
      </c>
      <c r="D12" s="19"/>
      <c r="E12" s="20" t="s">
        <v>44</v>
      </c>
      <c r="F12" s="21" t="s">
        <v>63</v>
      </c>
      <c r="G12" s="21"/>
      <c r="H12" s="22"/>
    </row>
    <row r="13" customFormat="false" ht="18" hidden="false" customHeight="true" outlineLevel="0" collapsed="false">
      <c r="A13" s="17" t="s">
        <v>48</v>
      </c>
      <c r="B13" s="18" t="n">
        <v>8</v>
      </c>
      <c r="C13" s="19" t="s">
        <v>64</v>
      </c>
      <c r="D13" s="19"/>
      <c r="E13" s="20" t="s">
        <v>44</v>
      </c>
      <c r="F13" s="21" t="s">
        <v>65</v>
      </c>
      <c r="G13" s="21"/>
      <c r="H13" s="22"/>
    </row>
    <row r="14" customFormat="false" ht="18" hidden="false" customHeight="true" outlineLevel="0" collapsed="false">
      <c r="A14" s="17" t="s">
        <v>48</v>
      </c>
      <c r="B14" s="18" t="n">
        <v>9</v>
      </c>
      <c r="C14" s="19" t="s">
        <v>66</v>
      </c>
      <c r="D14" s="19"/>
      <c r="E14" s="20" t="s">
        <v>44</v>
      </c>
      <c r="F14" s="21" t="s">
        <v>67</v>
      </c>
      <c r="G14" s="21"/>
      <c r="H14" s="22"/>
    </row>
    <row r="15" customFormat="false" ht="18" hidden="false" customHeight="true" outlineLevel="0" collapsed="false">
      <c r="A15" s="17" t="s">
        <v>48</v>
      </c>
      <c r="B15" s="18" t="n">
        <v>10</v>
      </c>
      <c r="C15" s="19" t="s">
        <v>68</v>
      </c>
      <c r="D15" s="19"/>
      <c r="E15" s="20" t="s">
        <v>44</v>
      </c>
      <c r="F15" s="21" t="s">
        <v>69</v>
      </c>
      <c r="G15" s="21"/>
      <c r="H15" s="22"/>
    </row>
    <row r="16" customFormat="false" ht="18" hidden="false" customHeight="true" outlineLevel="0" collapsed="false">
      <c r="A16" s="17" t="s">
        <v>48</v>
      </c>
      <c r="B16" s="18" t="n">
        <v>11</v>
      </c>
      <c r="C16" s="19" t="s">
        <v>70</v>
      </c>
      <c r="D16" s="19"/>
      <c r="E16" s="20" t="s">
        <v>44</v>
      </c>
      <c r="F16" s="21" t="s">
        <v>71</v>
      </c>
      <c r="G16" s="21"/>
      <c r="H16" s="22"/>
    </row>
    <row r="17" customFormat="false" ht="18" hidden="false" customHeight="true" outlineLevel="0" collapsed="false">
      <c r="A17" s="17" t="s">
        <v>48</v>
      </c>
      <c r="B17" s="18" t="n">
        <v>12</v>
      </c>
      <c r="C17" s="19" t="s">
        <v>72</v>
      </c>
      <c r="D17" s="19"/>
      <c r="E17" s="20" t="s">
        <v>44</v>
      </c>
      <c r="F17" s="21" t="s">
        <v>73</v>
      </c>
      <c r="G17" s="21"/>
      <c r="H17" s="22"/>
    </row>
    <row r="18" customFormat="false" ht="18" hidden="false" customHeight="true" outlineLevel="0" collapsed="false">
      <c r="A18" s="17" t="s">
        <v>48</v>
      </c>
      <c r="B18" s="18" t="n">
        <v>13</v>
      </c>
      <c r="C18" s="19" t="s">
        <v>74</v>
      </c>
      <c r="D18" s="19"/>
      <c r="E18" s="20" t="s">
        <v>44</v>
      </c>
      <c r="F18" s="21" t="s">
        <v>75</v>
      </c>
      <c r="G18" s="21"/>
      <c r="H18" s="22"/>
    </row>
    <row r="19" customFormat="false" ht="18" hidden="false" customHeight="true" outlineLevel="0" collapsed="false">
      <c r="A19" s="17" t="s">
        <v>48</v>
      </c>
      <c r="B19" s="18" t="n">
        <v>14</v>
      </c>
      <c r="C19" s="19" t="s">
        <v>76</v>
      </c>
      <c r="D19" s="19"/>
      <c r="E19" s="20" t="s">
        <v>44</v>
      </c>
      <c r="F19" s="21" t="s">
        <v>77</v>
      </c>
      <c r="G19" s="21"/>
      <c r="H19" s="22"/>
    </row>
    <row r="20" customFormat="false" ht="18" hidden="false" customHeight="true" outlineLevel="0" collapsed="false">
      <c r="A20" s="16" t="s">
        <v>78</v>
      </c>
      <c r="B20" s="16"/>
      <c r="C20" s="16"/>
      <c r="D20" s="16"/>
      <c r="E20" s="16"/>
      <c r="F20" s="16"/>
      <c r="G20" s="16"/>
      <c r="H20" s="16"/>
    </row>
    <row r="21" customFormat="false" ht="18" hidden="false" customHeight="true" outlineLevel="0" collapsed="false">
      <c r="A21" s="17" t="s">
        <v>79</v>
      </c>
      <c r="B21" s="18" t="n">
        <v>15</v>
      </c>
      <c r="C21" s="19" t="s">
        <v>80</v>
      </c>
      <c r="D21" s="19"/>
      <c r="E21" s="20" t="s">
        <v>44</v>
      </c>
      <c r="F21" s="21" t="s">
        <v>81</v>
      </c>
      <c r="G21" s="21"/>
      <c r="H21" s="22"/>
    </row>
    <row r="22" customFormat="false" ht="18" hidden="false" customHeight="true" outlineLevel="0" collapsed="false">
      <c r="A22" s="17" t="s">
        <v>79</v>
      </c>
      <c r="B22" s="18" t="n">
        <v>16</v>
      </c>
      <c r="C22" s="19" t="s">
        <v>82</v>
      </c>
      <c r="D22" s="19"/>
      <c r="E22" s="20" t="s">
        <v>44</v>
      </c>
      <c r="F22" s="21" t="s">
        <v>83</v>
      </c>
      <c r="G22" s="21"/>
      <c r="H22" s="22"/>
    </row>
    <row r="23" customFormat="false" ht="18" hidden="false" customHeight="true" outlineLevel="0" collapsed="false">
      <c r="A23" s="23" t="s">
        <v>79</v>
      </c>
      <c r="B23" s="11" t="n">
        <v>17</v>
      </c>
      <c r="C23" s="12" t="s">
        <v>84</v>
      </c>
      <c r="D23" s="12"/>
      <c r="E23" s="24" t="s">
        <v>85</v>
      </c>
      <c r="F23" s="25" t="s">
        <v>86</v>
      </c>
      <c r="G23" s="25"/>
      <c r="H23" s="26"/>
    </row>
    <row r="24" customFormat="false" ht="18" hidden="false" customHeight="true" outlineLevel="0" collapsed="false">
      <c r="A24" s="23" t="s">
        <v>79</v>
      </c>
      <c r="B24" s="11" t="n">
        <v>18</v>
      </c>
      <c r="C24" s="12" t="s">
        <v>87</v>
      </c>
      <c r="D24" s="12"/>
      <c r="E24" s="24" t="s">
        <v>85</v>
      </c>
      <c r="F24" s="25" t="s">
        <v>88</v>
      </c>
      <c r="G24" s="25"/>
      <c r="H24" s="26"/>
    </row>
    <row r="25" customFormat="false" ht="18" hidden="false" customHeight="true" outlineLevel="0" collapsed="false">
      <c r="A25" s="16" t="s">
        <v>89</v>
      </c>
      <c r="B25" s="16"/>
      <c r="C25" s="16"/>
      <c r="D25" s="16"/>
      <c r="E25" s="16"/>
      <c r="F25" s="16"/>
      <c r="G25" s="16"/>
      <c r="H25" s="16"/>
    </row>
    <row r="26" customFormat="false" ht="18" hidden="false" customHeight="true" outlineLevel="0" collapsed="false">
      <c r="A26" s="17" t="s">
        <v>90</v>
      </c>
      <c r="B26" s="18" t="n">
        <v>19</v>
      </c>
      <c r="C26" s="19" t="s">
        <v>91</v>
      </c>
      <c r="D26" s="19"/>
      <c r="E26" s="20" t="s">
        <v>44</v>
      </c>
      <c r="F26" s="21" t="s">
        <v>92</v>
      </c>
      <c r="G26" s="21"/>
      <c r="H26" s="22" t="s">
        <v>93</v>
      </c>
    </row>
    <row r="27" customFormat="false" ht="18" hidden="false" customHeight="true" outlineLevel="0" collapsed="false">
      <c r="A27" s="17" t="s">
        <v>90</v>
      </c>
      <c r="B27" s="18" t="n">
        <v>20</v>
      </c>
      <c r="C27" s="19" t="s">
        <v>94</v>
      </c>
      <c r="D27" s="19"/>
      <c r="E27" s="20" t="s">
        <v>44</v>
      </c>
      <c r="F27" s="21" t="s">
        <v>95</v>
      </c>
      <c r="G27" s="21"/>
      <c r="H27" s="22" t="s">
        <v>96</v>
      </c>
    </row>
    <row r="28" customFormat="false" ht="18" hidden="false" customHeight="true" outlineLevel="0" collapsed="false">
      <c r="A28" s="17" t="s">
        <v>90</v>
      </c>
      <c r="B28" s="18" t="n">
        <v>21</v>
      </c>
      <c r="C28" s="19" t="s">
        <v>97</v>
      </c>
      <c r="D28" s="19"/>
      <c r="E28" s="20" t="s">
        <v>44</v>
      </c>
      <c r="F28" s="21" t="s">
        <v>98</v>
      </c>
      <c r="G28" s="21"/>
      <c r="H28" s="22" t="s">
        <v>99</v>
      </c>
    </row>
    <row r="29" customFormat="false" ht="18" hidden="false" customHeight="true" outlineLevel="0" collapsed="false">
      <c r="A29" s="17" t="s">
        <v>90</v>
      </c>
      <c r="B29" s="18" t="n">
        <v>22</v>
      </c>
      <c r="C29" s="19" t="s">
        <v>100</v>
      </c>
      <c r="D29" s="19"/>
      <c r="E29" s="20" t="s">
        <v>44</v>
      </c>
      <c r="F29" s="21" t="s">
        <v>101</v>
      </c>
      <c r="G29" s="21"/>
      <c r="H29" s="22" t="s">
        <v>102</v>
      </c>
    </row>
    <row r="30" customFormat="false" ht="18" hidden="false" customHeight="true" outlineLevel="0" collapsed="false">
      <c r="A30" s="17" t="s">
        <v>90</v>
      </c>
      <c r="B30" s="18" t="n">
        <v>23</v>
      </c>
      <c r="C30" s="19" t="s">
        <v>103</v>
      </c>
      <c r="D30" s="19"/>
      <c r="E30" s="20" t="s">
        <v>44</v>
      </c>
      <c r="F30" s="21" t="s">
        <v>104</v>
      </c>
      <c r="G30" s="21"/>
      <c r="H30" s="22"/>
    </row>
    <row r="31" customFormat="false" ht="18" hidden="false" customHeight="true" outlineLevel="0" collapsed="false">
      <c r="A31" s="17" t="s">
        <v>90</v>
      </c>
      <c r="B31" s="18" t="n">
        <v>24</v>
      </c>
      <c r="C31" s="19" t="s">
        <v>105</v>
      </c>
      <c r="D31" s="19"/>
      <c r="E31" s="20" t="s">
        <v>44</v>
      </c>
      <c r="F31" s="21" t="s">
        <v>106</v>
      </c>
      <c r="G31" s="21"/>
      <c r="H31" s="22"/>
    </row>
    <row r="32" customFormat="false" ht="18" hidden="false" customHeight="true" outlineLevel="0" collapsed="false">
      <c r="A32" s="16" t="s">
        <v>107</v>
      </c>
      <c r="B32" s="16"/>
      <c r="C32" s="16"/>
      <c r="D32" s="16"/>
      <c r="E32" s="16"/>
      <c r="F32" s="16"/>
      <c r="G32" s="16"/>
      <c r="H32" s="16"/>
    </row>
    <row r="33" customFormat="false" ht="18" hidden="false" customHeight="true" outlineLevel="0" collapsed="false">
      <c r="A33" s="17" t="s">
        <v>108</v>
      </c>
      <c r="B33" s="18" t="n">
        <v>25</v>
      </c>
      <c r="C33" s="19" t="s">
        <v>109</v>
      </c>
      <c r="D33" s="19"/>
      <c r="E33" s="20" t="s">
        <v>44</v>
      </c>
      <c r="F33" s="21" t="s">
        <v>110</v>
      </c>
      <c r="G33" s="21"/>
      <c r="H33" s="22" t="s">
        <v>111</v>
      </c>
    </row>
    <row r="34" customFormat="false" ht="18" hidden="false" customHeight="true" outlineLevel="0" collapsed="false">
      <c r="A34" s="17" t="s">
        <v>108</v>
      </c>
      <c r="B34" s="18" t="n">
        <v>26</v>
      </c>
      <c r="C34" s="19" t="s">
        <v>112</v>
      </c>
      <c r="D34" s="19"/>
      <c r="E34" s="20" t="s">
        <v>44</v>
      </c>
      <c r="F34" s="21" t="s">
        <v>113</v>
      </c>
      <c r="G34" s="21"/>
      <c r="H34" s="22"/>
    </row>
    <row r="35" customFormat="false" ht="18" hidden="false" customHeight="true" outlineLevel="0" collapsed="false">
      <c r="A35" s="17" t="s">
        <v>108</v>
      </c>
      <c r="B35" s="18" t="n">
        <v>27</v>
      </c>
      <c r="C35" s="19" t="s">
        <v>114</v>
      </c>
      <c r="D35" s="19"/>
      <c r="E35" s="20" t="s">
        <v>44</v>
      </c>
      <c r="F35" s="21" t="s">
        <v>115</v>
      </c>
      <c r="G35" s="21"/>
      <c r="H35" s="22"/>
    </row>
    <row r="36" customFormat="false" ht="18" hidden="false" customHeight="true" outlineLevel="0" collapsed="false">
      <c r="A36" s="17" t="s">
        <v>108</v>
      </c>
      <c r="B36" s="18" t="n">
        <v>28</v>
      </c>
      <c r="C36" s="19" t="s">
        <v>116</v>
      </c>
      <c r="D36" s="19"/>
      <c r="E36" s="20" t="s">
        <v>44</v>
      </c>
      <c r="F36" s="21" t="s">
        <v>115</v>
      </c>
      <c r="G36" s="21"/>
      <c r="H36" s="22"/>
    </row>
    <row r="37" customFormat="false" ht="18" hidden="false" customHeight="true" outlineLevel="0" collapsed="false">
      <c r="A37" s="17" t="s">
        <v>108</v>
      </c>
      <c r="B37" s="18" t="n">
        <v>29</v>
      </c>
      <c r="C37" s="19" t="s">
        <v>117</v>
      </c>
      <c r="D37" s="19"/>
      <c r="E37" s="20" t="s">
        <v>44</v>
      </c>
      <c r="F37" s="21" t="s">
        <v>118</v>
      </c>
      <c r="G37" s="21"/>
      <c r="H37" s="22"/>
    </row>
    <row r="38" customFormat="false" ht="18" hidden="false" customHeight="true" outlineLevel="0" collapsed="false">
      <c r="A38" s="17" t="s">
        <v>108</v>
      </c>
      <c r="B38" s="18" t="n">
        <v>30</v>
      </c>
      <c r="C38" s="19" t="s">
        <v>119</v>
      </c>
      <c r="D38" s="19"/>
      <c r="E38" s="20" t="s">
        <v>44</v>
      </c>
      <c r="F38" s="21" t="s">
        <v>118</v>
      </c>
      <c r="G38" s="21"/>
      <c r="H38" s="22"/>
    </row>
    <row r="39" customFormat="false" ht="18" hidden="false" customHeight="true" outlineLevel="0" collapsed="false">
      <c r="A39" s="17" t="s">
        <v>108</v>
      </c>
      <c r="B39" s="18" t="n">
        <v>31</v>
      </c>
      <c r="C39" s="19" t="s">
        <v>120</v>
      </c>
      <c r="D39" s="19"/>
      <c r="E39" s="20" t="s">
        <v>44</v>
      </c>
      <c r="F39" s="21" t="s">
        <v>118</v>
      </c>
      <c r="G39" s="21"/>
      <c r="H39" s="22"/>
    </row>
    <row r="40" customFormat="false" ht="18" hidden="false" customHeight="true" outlineLevel="0" collapsed="false">
      <c r="A40" s="17" t="s">
        <v>108</v>
      </c>
      <c r="B40" s="18" t="n">
        <v>32</v>
      </c>
      <c r="C40" s="19" t="s">
        <v>121</v>
      </c>
      <c r="D40" s="19"/>
      <c r="E40" s="20" t="s">
        <v>44</v>
      </c>
      <c r="F40" s="21" t="s">
        <v>118</v>
      </c>
      <c r="G40" s="21"/>
      <c r="H40" s="22"/>
    </row>
    <row r="41" customFormat="false" ht="18" hidden="false" customHeight="true" outlineLevel="0" collapsed="false">
      <c r="A41" s="17" t="s">
        <v>108</v>
      </c>
      <c r="B41" s="18" t="n">
        <v>33</v>
      </c>
      <c r="C41" s="19" t="s">
        <v>122</v>
      </c>
      <c r="D41" s="19"/>
      <c r="E41" s="20" t="s">
        <v>44</v>
      </c>
      <c r="F41" s="21" t="s">
        <v>123</v>
      </c>
      <c r="G41" s="21"/>
      <c r="H41" s="22"/>
    </row>
    <row r="42" customFormat="false" ht="18" hidden="false" customHeight="true" outlineLevel="0" collapsed="false">
      <c r="A42" s="17" t="s">
        <v>108</v>
      </c>
      <c r="B42" s="18" t="n">
        <v>34</v>
      </c>
      <c r="C42" s="19" t="s">
        <v>124</v>
      </c>
      <c r="D42" s="19"/>
      <c r="E42" s="20" t="s">
        <v>44</v>
      </c>
      <c r="F42" s="21" t="s">
        <v>125</v>
      </c>
      <c r="G42" s="21"/>
      <c r="H42" s="22" t="s">
        <v>126</v>
      </c>
    </row>
    <row r="43" customFormat="false" ht="18" hidden="false" customHeight="true" outlineLevel="0" collapsed="false">
      <c r="A43" s="16" t="s">
        <v>127</v>
      </c>
      <c r="B43" s="16"/>
      <c r="C43" s="16"/>
      <c r="D43" s="16"/>
      <c r="E43" s="16"/>
      <c r="F43" s="16"/>
      <c r="G43" s="16"/>
      <c r="H43" s="16"/>
    </row>
    <row r="44" customFormat="false" ht="18" hidden="false" customHeight="true" outlineLevel="0" collapsed="false">
      <c r="A44" s="17" t="s">
        <v>128</v>
      </c>
      <c r="B44" s="18" t="n">
        <v>35</v>
      </c>
      <c r="C44" s="19" t="s">
        <v>129</v>
      </c>
      <c r="D44" s="19"/>
      <c r="E44" s="20" t="s">
        <v>44</v>
      </c>
      <c r="F44" s="21" t="s">
        <v>130</v>
      </c>
      <c r="G44" s="21"/>
      <c r="H44" s="22"/>
    </row>
    <row r="45" customFormat="false" ht="18" hidden="false" customHeight="true" outlineLevel="0" collapsed="false">
      <c r="A45" s="16" t="s">
        <v>131</v>
      </c>
      <c r="B45" s="16"/>
      <c r="C45" s="16"/>
      <c r="D45" s="16"/>
      <c r="E45" s="16"/>
      <c r="F45" s="16"/>
      <c r="G45" s="16"/>
      <c r="H45" s="16"/>
    </row>
    <row r="46" customFormat="false" ht="18" hidden="false" customHeight="true" outlineLevel="0" collapsed="false">
      <c r="A46" s="17" t="s">
        <v>132</v>
      </c>
      <c r="B46" s="18" t="n">
        <v>36</v>
      </c>
      <c r="C46" s="19" t="s">
        <v>133</v>
      </c>
      <c r="D46" s="19"/>
      <c r="E46" s="20" t="s">
        <v>44</v>
      </c>
      <c r="F46" s="21" t="s">
        <v>134</v>
      </c>
      <c r="G46" s="21"/>
      <c r="H46" s="22"/>
    </row>
  </sheetData>
  <mergeCells count="82">
    <mergeCell ref="A1:H1"/>
    <mergeCell ref="A2:H2"/>
    <mergeCell ref="C4:D4"/>
    <mergeCell ref="F4:G4"/>
    <mergeCell ref="A5:H5"/>
    <mergeCell ref="C6:D6"/>
    <mergeCell ref="F6:G6"/>
    <mergeCell ref="C7:D7"/>
    <mergeCell ref="F7:G7"/>
    <mergeCell ref="C8:D8"/>
    <mergeCell ref="F8:G8"/>
    <mergeCell ref="C9:D9"/>
    <mergeCell ref="F9:G9"/>
    <mergeCell ref="C10:D10"/>
    <mergeCell ref="F10:G10"/>
    <mergeCell ref="C11:D11"/>
    <mergeCell ref="F11:G11"/>
    <mergeCell ref="C12:D12"/>
    <mergeCell ref="F12:G12"/>
    <mergeCell ref="C13:D13"/>
    <mergeCell ref="F13:G13"/>
    <mergeCell ref="C14:D14"/>
    <mergeCell ref="F14:G14"/>
    <mergeCell ref="C15:D15"/>
    <mergeCell ref="F15:G15"/>
    <mergeCell ref="C16:D16"/>
    <mergeCell ref="F16:G16"/>
    <mergeCell ref="C17:D17"/>
    <mergeCell ref="F17:G17"/>
    <mergeCell ref="C18:D18"/>
    <mergeCell ref="F18:G18"/>
    <mergeCell ref="C19:D19"/>
    <mergeCell ref="F19:G19"/>
    <mergeCell ref="A20:H20"/>
    <mergeCell ref="C21:D21"/>
    <mergeCell ref="F21:G21"/>
    <mergeCell ref="C22:D22"/>
    <mergeCell ref="F22:G22"/>
    <mergeCell ref="C23:D23"/>
    <mergeCell ref="F23:G23"/>
    <mergeCell ref="C24:D24"/>
    <mergeCell ref="F24:G24"/>
    <mergeCell ref="A25:H25"/>
    <mergeCell ref="C26:D26"/>
    <mergeCell ref="F26:G26"/>
    <mergeCell ref="C27:D27"/>
    <mergeCell ref="F27:G27"/>
    <mergeCell ref="C28:D28"/>
    <mergeCell ref="F28:G28"/>
    <mergeCell ref="C29:D29"/>
    <mergeCell ref="F29:G29"/>
    <mergeCell ref="C30:D30"/>
    <mergeCell ref="F30:G30"/>
    <mergeCell ref="C31:D31"/>
    <mergeCell ref="F31:G31"/>
    <mergeCell ref="A32:H32"/>
    <mergeCell ref="C33:D33"/>
    <mergeCell ref="F33:G33"/>
    <mergeCell ref="C34:D34"/>
    <mergeCell ref="F34:G34"/>
    <mergeCell ref="C35:D35"/>
    <mergeCell ref="F35:G35"/>
    <mergeCell ref="C36:D36"/>
    <mergeCell ref="F36:G36"/>
    <mergeCell ref="C37:D37"/>
    <mergeCell ref="F37:G37"/>
    <mergeCell ref="C38:D38"/>
    <mergeCell ref="F38:G38"/>
    <mergeCell ref="C39:D39"/>
    <mergeCell ref="F39:G39"/>
    <mergeCell ref="C40:D40"/>
    <mergeCell ref="F40:G40"/>
    <mergeCell ref="C41:D41"/>
    <mergeCell ref="F41:G41"/>
    <mergeCell ref="C42:D42"/>
    <mergeCell ref="F42:G42"/>
    <mergeCell ref="A43:H43"/>
    <mergeCell ref="C44:D44"/>
    <mergeCell ref="F44:G44"/>
    <mergeCell ref="A45:H45"/>
    <mergeCell ref="C46:D46"/>
    <mergeCell ref="F46:G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2"/>
    <col collapsed="false" customWidth="true" hidden="false" outlineLevel="0" max="4" min="4" style="0" width="38"/>
    <col collapsed="false" customWidth="true" hidden="false" outlineLevel="0" max="5" min="5" style="0" width="10"/>
    <col collapsed="false" customWidth="true" hidden="false" outlineLevel="0" max="6" min="6" style="0" width="22"/>
    <col collapsed="false" customWidth="true" hidden="false" outlineLevel="0" max="7" min="7" style="0" width="8"/>
  </cols>
  <sheetData>
    <row r="1" customFormat="false" ht="27.75" hidden="false" customHeight="true" outlineLevel="0" collapsed="false">
      <c r="A1" s="1" t="s">
        <v>135</v>
      </c>
      <c r="B1" s="1"/>
      <c r="C1" s="1"/>
      <c r="D1" s="1"/>
      <c r="E1" s="1"/>
      <c r="F1" s="1"/>
      <c r="G1" s="1"/>
      <c r="H1" s="1"/>
    </row>
    <row r="2" customFormat="false" ht="15.75" hidden="false" customHeight="true" outlineLevel="0" collapsed="false">
      <c r="A2" s="2" t="s">
        <v>136</v>
      </c>
      <c r="B2" s="2"/>
      <c r="C2" s="2"/>
      <c r="D2" s="2"/>
      <c r="E2" s="2"/>
      <c r="F2" s="2"/>
      <c r="G2" s="2"/>
      <c r="H2" s="2"/>
    </row>
    <row r="4" customFormat="false" ht="21.75" hidden="false" customHeight="true" outlineLevel="0" collapsed="false">
      <c r="A4" s="5" t="s">
        <v>137</v>
      </c>
      <c r="B4" s="5"/>
      <c r="C4" s="5"/>
      <c r="D4" s="5" t="s">
        <v>138</v>
      </c>
      <c r="E4" s="5"/>
      <c r="F4" s="15" t="s">
        <v>139</v>
      </c>
      <c r="G4" s="15"/>
    </row>
    <row r="5" customFormat="false" ht="15" hidden="false" customHeight="true" outlineLevel="0" collapsed="false">
      <c r="A5" s="16" t="s">
        <v>140</v>
      </c>
      <c r="B5" s="16"/>
      <c r="C5" s="16"/>
      <c r="D5" s="16"/>
      <c r="E5" s="16"/>
      <c r="F5" s="16"/>
      <c r="G5" s="16"/>
      <c r="H5" s="16"/>
    </row>
    <row r="6" customFormat="false" ht="18" hidden="false" customHeight="true" outlineLevel="0" collapsed="false">
      <c r="A6" s="12" t="s">
        <v>141</v>
      </c>
      <c r="B6" s="12"/>
      <c r="C6" s="12"/>
      <c r="D6" s="25" t="s">
        <v>142</v>
      </c>
      <c r="E6" s="25"/>
      <c r="F6" s="27"/>
      <c r="G6" s="27"/>
    </row>
    <row r="7" customFormat="false" ht="18" hidden="false" customHeight="true" outlineLevel="0" collapsed="false">
      <c r="A7" s="7" t="s">
        <v>143</v>
      </c>
      <c r="B7" s="7"/>
      <c r="C7" s="7"/>
      <c r="D7" s="28" t="s">
        <v>144</v>
      </c>
      <c r="E7" s="28"/>
      <c r="F7" s="27"/>
      <c r="G7" s="27"/>
    </row>
    <row r="8" customFormat="false" ht="18" hidden="false" customHeight="true" outlineLevel="0" collapsed="false">
      <c r="A8" s="12" t="s">
        <v>145</v>
      </c>
      <c r="B8" s="12"/>
      <c r="C8" s="12"/>
      <c r="D8" s="25" t="s">
        <v>146</v>
      </c>
      <c r="E8" s="25"/>
      <c r="F8" s="27"/>
      <c r="G8" s="27"/>
    </row>
    <row r="9" customFormat="false" ht="18" hidden="false" customHeight="true" outlineLevel="0" collapsed="false">
      <c r="A9" s="7" t="s">
        <v>147</v>
      </c>
      <c r="B9" s="7"/>
      <c r="C9" s="7"/>
      <c r="D9" s="28" t="s">
        <v>148</v>
      </c>
      <c r="E9" s="28"/>
      <c r="F9" s="27"/>
      <c r="G9" s="27"/>
    </row>
    <row r="10" customFormat="false" ht="18" hidden="false" customHeight="true" outlineLevel="0" collapsed="false">
      <c r="A10" s="12" t="s">
        <v>149</v>
      </c>
      <c r="B10" s="12"/>
      <c r="C10" s="12"/>
      <c r="D10" s="25" t="s">
        <v>150</v>
      </c>
      <c r="E10" s="25"/>
      <c r="F10" s="27"/>
      <c r="G10" s="27"/>
    </row>
    <row r="11" customFormat="false" ht="18" hidden="false" customHeight="true" outlineLevel="0" collapsed="false">
      <c r="A11" s="7" t="s">
        <v>151</v>
      </c>
      <c r="B11" s="7"/>
      <c r="C11" s="7"/>
      <c r="D11" s="28" t="s">
        <v>152</v>
      </c>
      <c r="E11" s="28"/>
      <c r="F11" s="27"/>
      <c r="G11" s="27"/>
    </row>
    <row r="12" customFormat="false" ht="18" hidden="false" customHeight="true" outlineLevel="0" collapsed="false">
      <c r="A12" s="12" t="s">
        <v>153</v>
      </c>
      <c r="B12" s="12"/>
      <c r="C12" s="12"/>
      <c r="D12" s="25" t="s">
        <v>154</v>
      </c>
      <c r="E12" s="25"/>
      <c r="F12" s="27"/>
      <c r="G12" s="27"/>
    </row>
    <row r="13" customFormat="false" ht="15" hidden="false" customHeight="true" outlineLevel="0" collapsed="false">
      <c r="A13" s="16" t="s">
        <v>155</v>
      </c>
      <c r="B13" s="16"/>
      <c r="C13" s="16"/>
      <c r="D13" s="16"/>
      <c r="E13" s="16"/>
      <c r="F13" s="16"/>
      <c r="G13" s="16"/>
      <c r="H13" s="16"/>
    </row>
    <row r="14" customFormat="false" ht="18" hidden="false" customHeight="true" outlineLevel="0" collapsed="false">
      <c r="A14" s="29" t="s">
        <v>156</v>
      </c>
      <c r="B14" s="13" t="s">
        <v>157</v>
      </c>
      <c r="C14" s="13"/>
      <c r="D14" s="25" t="s">
        <v>158</v>
      </c>
      <c r="E14" s="25"/>
      <c r="F14" s="30" t="n">
        <v>0</v>
      </c>
      <c r="G14" s="30"/>
    </row>
    <row r="15" customFormat="false" ht="18" hidden="false" customHeight="true" outlineLevel="0" collapsed="false">
      <c r="A15" s="31" t="s">
        <v>159</v>
      </c>
      <c r="B15" s="8" t="s">
        <v>160</v>
      </c>
      <c r="C15" s="8"/>
      <c r="D15" s="28" t="s">
        <v>161</v>
      </c>
      <c r="E15" s="28"/>
      <c r="F15" s="30" t="n">
        <v>0</v>
      </c>
      <c r="G15" s="30"/>
    </row>
    <row r="16" customFormat="false" ht="18" hidden="false" customHeight="true" outlineLevel="0" collapsed="false">
      <c r="A16" s="29" t="s">
        <v>162</v>
      </c>
      <c r="B16" s="13" t="s">
        <v>163</v>
      </c>
      <c r="C16" s="13"/>
      <c r="D16" s="25" t="s">
        <v>164</v>
      </c>
      <c r="E16" s="25"/>
      <c r="F16" s="30" t="n">
        <v>0</v>
      </c>
      <c r="G16" s="30"/>
    </row>
    <row r="17" customFormat="false" ht="18" hidden="false" customHeight="true" outlineLevel="0" collapsed="false">
      <c r="A17" s="31" t="s">
        <v>165</v>
      </c>
      <c r="B17" s="8" t="s">
        <v>166</v>
      </c>
      <c r="C17" s="8"/>
      <c r="D17" s="28" t="s">
        <v>167</v>
      </c>
      <c r="E17" s="28"/>
      <c r="F17" s="30" t="n">
        <v>0</v>
      </c>
      <c r="G17" s="30"/>
    </row>
    <row r="18" customFormat="false" ht="18" hidden="false" customHeight="true" outlineLevel="0" collapsed="false">
      <c r="A18" s="29" t="s">
        <v>168</v>
      </c>
      <c r="B18" s="13" t="s">
        <v>169</v>
      </c>
      <c r="C18" s="13"/>
      <c r="D18" s="25" t="s">
        <v>170</v>
      </c>
      <c r="E18" s="25"/>
      <c r="F18" s="30" t="n">
        <v>0</v>
      </c>
      <c r="G18" s="30"/>
    </row>
    <row r="19" customFormat="false" ht="18" hidden="false" customHeight="true" outlineLevel="0" collapsed="false">
      <c r="A19" s="31" t="s">
        <v>171</v>
      </c>
      <c r="B19" s="8" t="s">
        <v>172</v>
      </c>
      <c r="C19" s="8"/>
      <c r="D19" s="28" t="s">
        <v>173</v>
      </c>
      <c r="E19" s="28"/>
      <c r="F19" s="30" t="n">
        <v>0</v>
      </c>
      <c r="G19" s="30"/>
    </row>
    <row r="20" customFormat="false" ht="18" hidden="false" customHeight="true" outlineLevel="0" collapsed="false">
      <c r="A20" s="29" t="s">
        <v>174</v>
      </c>
      <c r="B20" s="13" t="s">
        <v>175</v>
      </c>
      <c r="C20" s="13"/>
      <c r="D20" s="25" t="s">
        <v>176</v>
      </c>
      <c r="E20" s="25"/>
      <c r="F20" s="30" t="n">
        <v>0</v>
      </c>
      <c r="G20" s="30"/>
    </row>
    <row r="21" customFormat="false" ht="18" hidden="false" customHeight="true" outlineLevel="0" collapsed="false">
      <c r="A21" s="32" t="s">
        <v>177</v>
      </c>
      <c r="B21" s="33" t="s">
        <v>178</v>
      </c>
      <c r="C21" s="33"/>
      <c r="D21" s="34" t="s">
        <v>179</v>
      </c>
      <c r="E21" s="34"/>
      <c r="F21" s="35" t="n">
        <f aca="false">SUM(F6:F12)</f>
        <v>0</v>
      </c>
      <c r="G21" s="35"/>
    </row>
    <row r="22" customFormat="false" ht="15" hidden="false" customHeight="true" outlineLevel="0" collapsed="false">
      <c r="A22" s="16" t="s">
        <v>180</v>
      </c>
      <c r="B22" s="16"/>
      <c r="C22" s="16"/>
      <c r="D22" s="16"/>
      <c r="E22" s="16"/>
      <c r="F22" s="16"/>
      <c r="G22" s="16"/>
      <c r="H22" s="16"/>
    </row>
    <row r="23" customFormat="false" ht="18" hidden="false" customHeight="true" outlineLevel="0" collapsed="false">
      <c r="A23" s="31" t="s">
        <v>181</v>
      </c>
      <c r="B23" s="8" t="s">
        <v>182</v>
      </c>
      <c r="C23" s="8"/>
      <c r="D23" s="28" t="s">
        <v>183</v>
      </c>
      <c r="E23" s="28"/>
      <c r="F23" s="30" t="n">
        <v>0</v>
      </c>
      <c r="G23" s="30"/>
    </row>
    <row r="24" customFormat="false" ht="18" hidden="false" customHeight="true" outlineLevel="0" collapsed="false">
      <c r="A24" s="29" t="s">
        <v>184</v>
      </c>
      <c r="B24" s="13" t="s">
        <v>185</v>
      </c>
      <c r="C24" s="13"/>
      <c r="D24" s="25" t="s">
        <v>186</v>
      </c>
      <c r="E24" s="25"/>
      <c r="F24" s="30" t="n">
        <v>0</v>
      </c>
      <c r="G24" s="30"/>
    </row>
    <row r="25" customFormat="false" ht="18" hidden="false" customHeight="true" outlineLevel="0" collapsed="false">
      <c r="A25" s="31" t="s">
        <v>187</v>
      </c>
      <c r="B25" s="8" t="s">
        <v>188</v>
      </c>
      <c r="C25" s="8"/>
      <c r="D25" s="28" t="s">
        <v>189</v>
      </c>
      <c r="E25" s="28"/>
      <c r="F25" s="30" t="n">
        <v>0</v>
      </c>
      <c r="G25" s="30"/>
    </row>
    <row r="26" customFormat="false" ht="18" hidden="false" customHeight="true" outlineLevel="0" collapsed="false">
      <c r="A26" s="32" t="s">
        <v>190</v>
      </c>
      <c r="B26" s="33" t="s">
        <v>191</v>
      </c>
      <c r="C26" s="33"/>
      <c r="D26" s="34" t="s">
        <v>192</v>
      </c>
      <c r="E26" s="34"/>
      <c r="F26" s="35" t="n">
        <v>0</v>
      </c>
      <c r="G26" s="35"/>
    </row>
    <row r="27" customFormat="false" ht="18" hidden="false" customHeight="true" outlineLevel="0" collapsed="false">
      <c r="A27" s="32" t="s">
        <v>193</v>
      </c>
      <c r="B27" s="33" t="s">
        <v>194</v>
      </c>
      <c r="C27" s="33"/>
      <c r="D27" s="34" t="s">
        <v>195</v>
      </c>
      <c r="E27" s="34"/>
      <c r="F27" s="35" t="n">
        <v>0</v>
      </c>
      <c r="G27" s="35"/>
    </row>
    <row r="28" customFormat="false" ht="18" hidden="false" customHeight="true" outlineLevel="0" collapsed="false">
      <c r="A28" s="29" t="s">
        <v>196</v>
      </c>
      <c r="B28" s="13" t="s">
        <v>197</v>
      </c>
      <c r="C28" s="13"/>
      <c r="D28" s="25" t="s">
        <v>198</v>
      </c>
      <c r="E28" s="25"/>
      <c r="F28" s="30" t="n">
        <v>0</v>
      </c>
      <c r="G28" s="30"/>
    </row>
    <row r="29" customFormat="false" ht="18" hidden="false" customHeight="true" outlineLevel="0" collapsed="false">
      <c r="A29" s="32" t="s">
        <v>199</v>
      </c>
      <c r="B29" s="33" t="s">
        <v>200</v>
      </c>
      <c r="C29" s="33"/>
      <c r="D29" s="34" t="s">
        <v>201</v>
      </c>
      <c r="E29" s="34"/>
      <c r="F29" s="35" t="n">
        <v>0</v>
      </c>
      <c r="G29" s="35"/>
    </row>
    <row r="30" customFormat="false" ht="18" hidden="false" customHeight="true" outlineLevel="0" collapsed="false">
      <c r="A30" s="32" t="s">
        <v>202</v>
      </c>
      <c r="B30" s="33" t="s">
        <v>203</v>
      </c>
      <c r="C30" s="33"/>
      <c r="D30" s="34" t="s">
        <v>204</v>
      </c>
      <c r="E30" s="34"/>
      <c r="F30" s="35" t="n">
        <v>0</v>
      </c>
      <c r="G30" s="35"/>
    </row>
    <row r="31" customFormat="false" ht="18" hidden="false" customHeight="true" outlineLevel="0" collapsed="false">
      <c r="A31" s="32" t="s">
        <v>205</v>
      </c>
      <c r="B31" s="33" t="s">
        <v>206</v>
      </c>
      <c r="C31" s="33"/>
      <c r="D31" s="34" t="s">
        <v>207</v>
      </c>
      <c r="E31" s="34"/>
      <c r="F31" s="35" t="n">
        <v>0</v>
      </c>
      <c r="G31" s="35"/>
    </row>
    <row r="32" customFormat="false" ht="18" hidden="false" customHeight="true" outlineLevel="0" collapsed="false">
      <c r="A32" s="32" t="s">
        <v>208</v>
      </c>
      <c r="B32" s="33" t="s">
        <v>209</v>
      </c>
      <c r="C32" s="33"/>
      <c r="D32" s="34" t="s">
        <v>210</v>
      </c>
      <c r="E32" s="34"/>
      <c r="F32" s="35" t="n">
        <v>0</v>
      </c>
      <c r="G32" s="35"/>
    </row>
  </sheetData>
  <mergeCells count="83">
    <mergeCell ref="A1:H1"/>
    <mergeCell ref="A2:H2"/>
    <mergeCell ref="A4:C4"/>
    <mergeCell ref="D4:E4"/>
    <mergeCell ref="F4:G4"/>
    <mergeCell ref="A5:H5"/>
    <mergeCell ref="A6:C6"/>
    <mergeCell ref="D6:E6"/>
    <mergeCell ref="F6:G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H13"/>
    <mergeCell ref="B14:C14"/>
    <mergeCell ref="D14:E14"/>
    <mergeCell ref="F14:G14"/>
    <mergeCell ref="B15:C15"/>
    <mergeCell ref="D15:E15"/>
    <mergeCell ref="F15:G15"/>
    <mergeCell ref="B16:C16"/>
    <mergeCell ref="D16:E16"/>
    <mergeCell ref="F16:G16"/>
    <mergeCell ref="B17:C17"/>
    <mergeCell ref="D17:E17"/>
    <mergeCell ref="F17:G17"/>
    <mergeCell ref="B18:C18"/>
    <mergeCell ref="D18:E18"/>
    <mergeCell ref="F18:G18"/>
    <mergeCell ref="B19:C19"/>
    <mergeCell ref="D19:E19"/>
    <mergeCell ref="F19:G19"/>
    <mergeCell ref="B20:C20"/>
    <mergeCell ref="D20:E20"/>
    <mergeCell ref="F20:G20"/>
    <mergeCell ref="B21:C21"/>
    <mergeCell ref="D21:E21"/>
    <mergeCell ref="F21:G21"/>
    <mergeCell ref="A22:H22"/>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 ref="B28:C28"/>
    <mergeCell ref="D28:E28"/>
    <mergeCell ref="F28:G28"/>
    <mergeCell ref="B29:C29"/>
    <mergeCell ref="D29:E29"/>
    <mergeCell ref="F29:G29"/>
    <mergeCell ref="B30:C30"/>
    <mergeCell ref="D30:E30"/>
    <mergeCell ref="F30:G30"/>
    <mergeCell ref="B31:C31"/>
    <mergeCell ref="D31:E31"/>
    <mergeCell ref="F31:G31"/>
    <mergeCell ref="B32:C32"/>
    <mergeCell ref="D32:E32"/>
    <mergeCell ref="F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7F00"/>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8"/>
    <col collapsed="false" customWidth="true" hidden="false" outlineLevel="0" max="4" min="4" style="0" width="14"/>
    <col collapsed="false" customWidth="true" hidden="false" outlineLevel="0" max="5" min="5" style="0" width="20"/>
    <col collapsed="false" customWidth="true" hidden="false" outlineLevel="0" max="6" min="6" style="0" width="32"/>
  </cols>
  <sheetData>
    <row r="1" customFormat="false" ht="27.75" hidden="false" customHeight="true" outlineLevel="0" collapsed="false">
      <c r="A1" s="1" t="s">
        <v>211</v>
      </c>
      <c r="B1" s="1"/>
      <c r="C1" s="1"/>
      <c r="D1" s="1"/>
      <c r="E1" s="1"/>
      <c r="F1" s="1"/>
      <c r="G1" s="1"/>
      <c r="H1" s="1"/>
    </row>
    <row r="2" customFormat="false" ht="15.75" hidden="false" customHeight="true" outlineLevel="0" collapsed="false">
      <c r="A2" s="2" t="s">
        <v>212</v>
      </c>
      <c r="B2" s="2"/>
      <c r="C2" s="2"/>
      <c r="D2" s="2"/>
      <c r="E2" s="2"/>
      <c r="F2" s="2"/>
      <c r="G2" s="2"/>
      <c r="H2" s="2"/>
    </row>
    <row r="4" customFormat="false" ht="15" hidden="false" customHeight="true" outlineLevel="0" collapsed="false">
      <c r="A4" s="16" t="s">
        <v>213</v>
      </c>
      <c r="B4" s="16"/>
      <c r="C4" s="16"/>
      <c r="D4" s="16"/>
      <c r="E4" s="16"/>
      <c r="F4" s="16"/>
    </row>
    <row r="5" customFormat="false" ht="21.75" hidden="false" customHeight="true" outlineLevel="0" collapsed="false">
      <c r="A5" s="5" t="s">
        <v>214</v>
      </c>
      <c r="B5" s="5"/>
      <c r="C5" s="5" t="s">
        <v>138</v>
      </c>
      <c r="D5" s="5"/>
      <c r="E5" s="5" t="s">
        <v>215</v>
      </c>
      <c r="F5" s="5"/>
    </row>
    <row r="6" customFormat="false" ht="18" hidden="false" customHeight="true" outlineLevel="0" collapsed="false">
      <c r="A6" s="36" t="s">
        <v>216</v>
      </c>
      <c r="B6" s="36"/>
      <c r="C6" s="13" t="s">
        <v>217</v>
      </c>
      <c r="D6" s="13"/>
      <c r="E6" s="37" t="n">
        <v>54000000</v>
      </c>
      <c r="F6" s="37"/>
    </row>
    <row r="7" customFormat="false" ht="18" hidden="false" customHeight="true" outlineLevel="0" collapsed="false">
      <c r="A7" s="38" t="s">
        <v>218</v>
      </c>
      <c r="B7" s="38"/>
      <c r="C7" s="8" t="s">
        <v>219</v>
      </c>
      <c r="D7" s="8"/>
      <c r="E7" s="39" t="n">
        <v>58500000</v>
      </c>
      <c r="F7" s="39"/>
    </row>
    <row r="8" customFormat="false" ht="18" hidden="false" customHeight="true" outlineLevel="0" collapsed="false">
      <c r="A8" s="36" t="s">
        <v>220</v>
      </c>
      <c r="B8" s="36"/>
      <c r="C8" s="13" t="s">
        <v>221</v>
      </c>
      <c r="D8" s="13"/>
      <c r="E8" s="37" t="n">
        <v>63000000</v>
      </c>
      <c r="F8" s="37"/>
    </row>
    <row r="9" customFormat="false" ht="18" hidden="false" customHeight="true" outlineLevel="0" collapsed="false">
      <c r="A9" s="38" t="s">
        <v>222</v>
      </c>
      <c r="B9" s="38"/>
      <c r="C9" s="8" t="s">
        <v>223</v>
      </c>
      <c r="D9" s="8"/>
      <c r="E9" s="39" t="n">
        <v>67500000</v>
      </c>
      <c r="F9" s="39"/>
    </row>
    <row r="10" customFormat="false" ht="18" hidden="false" customHeight="true" outlineLevel="0" collapsed="false">
      <c r="A10" s="36" t="s">
        <v>224</v>
      </c>
      <c r="B10" s="36"/>
      <c r="C10" s="13" t="s">
        <v>225</v>
      </c>
      <c r="D10" s="13"/>
      <c r="E10" s="37" t="n">
        <v>58500000</v>
      </c>
      <c r="F10" s="37"/>
    </row>
    <row r="11" customFormat="false" ht="18" hidden="false" customHeight="true" outlineLevel="0" collapsed="false">
      <c r="A11" s="38" t="s">
        <v>226</v>
      </c>
      <c r="B11" s="38"/>
      <c r="C11" s="8" t="s">
        <v>227</v>
      </c>
      <c r="D11" s="8"/>
      <c r="E11" s="39" t="n">
        <v>63000000</v>
      </c>
      <c r="F11" s="39"/>
    </row>
    <row r="12" customFormat="false" ht="18" hidden="false" customHeight="true" outlineLevel="0" collapsed="false">
      <c r="A12" s="36" t="s">
        <v>228</v>
      </c>
      <c r="B12" s="36"/>
      <c r="C12" s="13" t="s">
        <v>229</v>
      </c>
      <c r="D12" s="13"/>
      <c r="E12" s="37" t="n">
        <v>67500000</v>
      </c>
      <c r="F12" s="37"/>
    </row>
    <row r="13" customFormat="false" ht="18" hidden="false" customHeight="true" outlineLevel="0" collapsed="false">
      <c r="A13" s="38" t="s">
        <v>230</v>
      </c>
      <c r="B13" s="38"/>
      <c r="C13" s="8" t="s">
        <v>231</v>
      </c>
      <c r="D13" s="8"/>
      <c r="E13" s="39" t="n">
        <v>72000000</v>
      </c>
      <c r="F13" s="39"/>
    </row>
    <row r="14" customFormat="false" ht="18" hidden="false" customHeight="true" outlineLevel="0" collapsed="false">
      <c r="A14" s="36" t="s">
        <v>232</v>
      </c>
      <c r="B14" s="36"/>
      <c r="C14" s="13" t="s">
        <v>233</v>
      </c>
      <c r="D14" s="13"/>
      <c r="E14" s="37" t="n">
        <v>108000000</v>
      </c>
      <c r="F14" s="37"/>
    </row>
    <row r="15" customFormat="false" ht="18" hidden="false" customHeight="true" outlineLevel="0" collapsed="false">
      <c r="A15" s="38" t="s">
        <v>234</v>
      </c>
      <c r="B15" s="38"/>
      <c r="C15" s="8" t="s">
        <v>235</v>
      </c>
      <c r="D15" s="8"/>
      <c r="E15" s="39" t="n">
        <v>112500000</v>
      </c>
      <c r="F15" s="39"/>
    </row>
    <row r="16" customFormat="false" ht="18" hidden="false" customHeight="true" outlineLevel="0" collapsed="false">
      <c r="A16" s="36" t="s">
        <v>236</v>
      </c>
      <c r="B16" s="36"/>
      <c r="C16" s="13" t="s">
        <v>237</v>
      </c>
      <c r="D16" s="13"/>
      <c r="E16" s="37" t="n">
        <v>117000000</v>
      </c>
      <c r="F16" s="37"/>
    </row>
    <row r="17" customFormat="false" ht="18" hidden="false" customHeight="true" outlineLevel="0" collapsed="false">
      <c r="A17" s="38" t="s">
        <v>238</v>
      </c>
      <c r="B17" s="38"/>
      <c r="C17" s="8" t="s">
        <v>239</v>
      </c>
      <c r="D17" s="8"/>
      <c r="E17" s="39" t="n">
        <v>121500000</v>
      </c>
      <c r="F17" s="39"/>
    </row>
    <row r="19" customFormat="false" ht="15" hidden="false" customHeight="true" outlineLevel="0" collapsed="false">
      <c r="A19" s="16" t="s">
        <v>240</v>
      </c>
      <c r="B19" s="16"/>
      <c r="C19" s="16"/>
      <c r="D19" s="16"/>
      <c r="E19" s="16"/>
      <c r="F19" s="16"/>
    </row>
    <row r="20" customFormat="false" ht="21.75" hidden="false" customHeight="true" outlineLevel="0" collapsed="false">
      <c r="A20" s="5" t="s">
        <v>241</v>
      </c>
      <c r="B20" s="5"/>
      <c r="C20" s="5"/>
      <c r="D20" s="5" t="s">
        <v>242</v>
      </c>
      <c r="E20" s="5" t="s">
        <v>243</v>
      </c>
      <c r="F20" s="5"/>
    </row>
    <row r="21" customFormat="false" ht="18" hidden="false" customHeight="true" outlineLevel="0" collapsed="false">
      <c r="A21" s="40" t="s">
        <v>244</v>
      </c>
      <c r="B21" s="40" t="s">
        <v>245</v>
      </c>
      <c r="C21" s="40" t="s">
        <v>246</v>
      </c>
      <c r="D21" s="41" t="s">
        <v>247</v>
      </c>
      <c r="E21" s="42" t="n">
        <v>3000000</v>
      </c>
      <c r="F21" s="42"/>
    </row>
    <row r="22" customFormat="false" ht="18" hidden="false" customHeight="true" outlineLevel="0" collapsed="false">
      <c r="A22" s="43" t="s">
        <v>246</v>
      </c>
      <c r="B22" s="43" t="s">
        <v>245</v>
      </c>
      <c r="C22" s="43" t="s">
        <v>248</v>
      </c>
      <c r="D22" s="41" t="s">
        <v>249</v>
      </c>
      <c r="E22" s="44" t="n">
        <v>28500000</v>
      </c>
      <c r="F22" s="44"/>
    </row>
    <row r="23" customFormat="false" ht="18" hidden="false" customHeight="true" outlineLevel="0" collapsed="false">
      <c r="A23" s="40" t="s">
        <v>248</v>
      </c>
      <c r="B23" s="40" t="s">
        <v>245</v>
      </c>
      <c r="C23" s="40" t="s">
        <v>250</v>
      </c>
      <c r="D23" s="41" t="s">
        <v>251</v>
      </c>
      <c r="E23" s="42" t="n">
        <v>62500000</v>
      </c>
      <c r="F23" s="42"/>
    </row>
    <row r="24" customFormat="false" ht="18" hidden="false" customHeight="true" outlineLevel="0" collapsed="false">
      <c r="A24" s="43" t="s">
        <v>250</v>
      </c>
      <c r="B24" s="43" t="s">
        <v>245</v>
      </c>
      <c r="C24" s="43" t="s">
        <v>252</v>
      </c>
      <c r="D24" s="41" t="s">
        <v>253</v>
      </c>
      <c r="E24" s="44" t="s">
        <v>254</v>
      </c>
      <c r="F24" s="44"/>
    </row>
    <row r="25" customFormat="false" ht="18" hidden="false" customHeight="true" outlineLevel="0" collapsed="false">
      <c r="A25" s="40" t="s">
        <v>255</v>
      </c>
      <c r="B25" s="40" t="s">
        <v>256</v>
      </c>
      <c r="C25" s="40" t="s">
        <v>256</v>
      </c>
      <c r="D25" s="41" t="s">
        <v>257</v>
      </c>
      <c r="E25" s="42" t="s">
        <v>258</v>
      </c>
      <c r="F25" s="42"/>
    </row>
    <row r="27" customFormat="false" ht="15" hidden="false" customHeight="true" outlineLevel="0" collapsed="false">
      <c r="A27" s="16" t="s">
        <v>259</v>
      </c>
      <c r="B27" s="16"/>
      <c r="C27" s="16"/>
      <c r="D27" s="16"/>
      <c r="E27" s="16"/>
      <c r="F27" s="16"/>
    </row>
    <row r="28" customFormat="false" ht="19.5" hidden="false" customHeight="true" outlineLevel="0" collapsed="false">
      <c r="A28" s="45" t="s">
        <v>260</v>
      </c>
      <c r="B28" s="45"/>
      <c r="C28" s="46" t="s">
        <v>261</v>
      </c>
      <c r="D28" s="46"/>
      <c r="E28" s="47" t="n">
        <v>0</v>
      </c>
      <c r="F28" s="48" t="s">
        <v>262</v>
      </c>
    </row>
    <row r="29" customFormat="false" ht="19.5" hidden="false" customHeight="true" outlineLevel="0" collapsed="false">
      <c r="A29" s="45" t="s">
        <v>260</v>
      </c>
      <c r="B29" s="45"/>
      <c r="C29" s="46" t="s">
        <v>263</v>
      </c>
      <c r="D29" s="46"/>
      <c r="E29" s="47" t="n">
        <v>0</v>
      </c>
      <c r="F29" s="48" t="s">
        <v>264</v>
      </c>
    </row>
    <row r="30" customFormat="false" ht="19.5" hidden="false" customHeight="true" outlineLevel="0" collapsed="false">
      <c r="A30" s="49" t="s">
        <v>265</v>
      </c>
      <c r="B30" s="49"/>
      <c r="C30" s="50" t="s">
        <v>266</v>
      </c>
      <c r="D30" s="50"/>
      <c r="E30" s="51" t="n">
        <f aca="false">E28-E29</f>
        <v>0</v>
      </c>
      <c r="F30" s="52" t="s">
        <v>267</v>
      </c>
    </row>
    <row r="31" customFormat="false" ht="19.5" hidden="false" customHeight="true" outlineLevel="0" collapsed="false">
      <c r="A31" s="45" t="s">
        <v>260</v>
      </c>
      <c r="B31" s="45"/>
      <c r="C31" s="46" t="s">
        <v>268</v>
      </c>
      <c r="D31" s="46"/>
      <c r="E31" s="47" t="n">
        <v>0</v>
      </c>
      <c r="F31" s="48" t="s">
        <v>269</v>
      </c>
    </row>
    <row r="32" customFormat="false" ht="19.5" hidden="false" customHeight="true" outlineLevel="0" collapsed="false">
      <c r="A32" s="49" t="s">
        <v>265</v>
      </c>
      <c r="B32" s="49"/>
      <c r="C32" s="50" t="s">
        <v>200</v>
      </c>
      <c r="D32" s="50"/>
      <c r="E32" s="51" t="n">
        <f aca="false">MAX(0,E30-E31)</f>
        <v>0</v>
      </c>
      <c r="F32" s="52" t="s">
        <v>270</v>
      </c>
    </row>
    <row r="33" customFormat="false" ht="19.5" hidden="false" customHeight="true" outlineLevel="0" collapsed="false">
      <c r="A33" s="49" t="s">
        <v>265</v>
      </c>
      <c r="B33" s="49"/>
      <c r="C33" s="50" t="s">
        <v>271</v>
      </c>
      <c r="D33" s="50"/>
      <c r="E33" s="51" t="n">
        <f aca="false">IF(E32&lt;=60000000, E32*0.05, IF(E32&lt;=250000000, 3000000+(E32-60000000)*0.15, IF(E32&lt;=500000000, 3000000+28500000+(E32-250000000)*0.25, IF(E32&lt;=5000000000, 3000000+28500000+62500000+(E32-500000000)*0.3, 3000000+28500000+62500000+1350000000+(E32-5000000000)*0.35))))</f>
        <v>0</v>
      </c>
      <c r="F33" s="52" t="s">
        <v>272</v>
      </c>
    </row>
    <row r="34" customFormat="false" ht="19.5" hidden="false" customHeight="true" outlineLevel="0" collapsed="false">
      <c r="A34" s="45" t="s">
        <v>260</v>
      </c>
      <c r="B34" s="45"/>
      <c r="C34" s="46" t="s">
        <v>273</v>
      </c>
      <c r="D34" s="46"/>
      <c r="E34" s="47" t="n">
        <v>0</v>
      </c>
      <c r="F34" s="48" t="s">
        <v>274</v>
      </c>
    </row>
    <row r="35" customFormat="false" ht="19.5" hidden="false" customHeight="true" outlineLevel="0" collapsed="false">
      <c r="A35" s="49" t="s">
        <v>265</v>
      </c>
      <c r="B35" s="49"/>
      <c r="C35" s="50" t="s">
        <v>275</v>
      </c>
      <c r="D35" s="50"/>
      <c r="E35" s="51" t="n">
        <f aca="false">E33-E34</f>
        <v>0</v>
      </c>
      <c r="F35" s="52" t="s">
        <v>276</v>
      </c>
    </row>
  </sheetData>
  <mergeCells count="67">
    <mergeCell ref="A1:H1"/>
    <mergeCell ref="A2:H2"/>
    <mergeCell ref="A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B17"/>
    <mergeCell ref="C17:D17"/>
    <mergeCell ref="E17:F17"/>
    <mergeCell ref="A19:F19"/>
    <mergeCell ref="A20:C20"/>
    <mergeCell ref="E20:F20"/>
    <mergeCell ref="E21:F21"/>
    <mergeCell ref="E22:F22"/>
    <mergeCell ref="E23:F23"/>
    <mergeCell ref="E24:F24"/>
    <mergeCell ref="E25:F25"/>
    <mergeCell ref="A27:F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8"/>
    <col collapsed="false" customWidth="true" hidden="false" outlineLevel="0" max="7" min="4" style="0" width="14"/>
    <col collapsed="false" customWidth="true" hidden="false" outlineLevel="0" max="8" min="8" style="0" width="28"/>
  </cols>
  <sheetData>
    <row r="1" customFormat="false" ht="27.75" hidden="false" customHeight="true" outlineLevel="0" collapsed="false">
      <c r="A1" s="1" t="s">
        <v>277</v>
      </c>
      <c r="B1" s="1"/>
      <c r="C1" s="1"/>
      <c r="D1" s="1"/>
      <c r="E1" s="1"/>
      <c r="F1" s="1"/>
      <c r="G1" s="1"/>
      <c r="H1" s="1"/>
    </row>
    <row r="2" customFormat="false" ht="15.75" hidden="false" customHeight="true" outlineLevel="0" collapsed="false">
      <c r="A2" s="2" t="s">
        <v>278</v>
      </c>
      <c r="B2" s="2"/>
      <c r="C2" s="2"/>
      <c r="D2" s="2"/>
      <c r="E2" s="2"/>
      <c r="F2" s="2"/>
      <c r="G2" s="2"/>
      <c r="H2" s="2"/>
    </row>
    <row r="4" customFormat="false" ht="18" hidden="false" customHeight="true" outlineLevel="0" collapsed="false">
      <c r="A4" s="53" t="s">
        <v>279</v>
      </c>
      <c r="B4" s="53"/>
      <c r="C4" s="54" t="s">
        <v>280</v>
      </c>
      <c r="D4" s="54"/>
      <c r="E4" s="54"/>
      <c r="F4" s="54"/>
      <c r="G4" s="54"/>
      <c r="H4" s="54"/>
    </row>
    <row r="5" customFormat="false" ht="18" hidden="false" customHeight="true" outlineLevel="0" collapsed="false">
      <c r="A5" s="53"/>
      <c r="B5" s="53"/>
      <c r="C5" s="54" t="s">
        <v>281</v>
      </c>
      <c r="D5" s="54"/>
      <c r="E5" s="54"/>
      <c r="F5" s="54"/>
      <c r="G5" s="54"/>
      <c r="H5" s="54"/>
    </row>
    <row r="6" customFormat="false" ht="18" hidden="false" customHeight="true" outlineLevel="0" collapsed="false">
      <c r="A6" s="53"/>
      <c r="B6" s="53"/>
      <c r="C6" s="54" t="s">
        <v>282</v>
      </c>
      <c r="D6" s="54"/>
      <c r="E6" s="54"/>
      <c r="F6" s="54"/>
      <c r="G6" s="54"/>
      <c r="H6" s="54"/>
    </row>
    <row r="7" customFormat="false" ht="18" hidden="false" customHeight="true" outlineLevel="0" collapsed="false">
      <c r="A7" s="53"/>
      <c r="B7" s="53"/>
      <c r="C7" s="54" t="s">
        <v>283</v>
      </c>
      <c r="D7" s="54"/>
      <c r="E7" s="54"/>
      <c r="F7" s="54"/>
      <c r="G7" s="54"/>
      <c r="H7" s="54"/>
    </row>
    <row r="9" customFormat="false" ht="21.75" hidden="false" customHeight="true" outlineLevel="0" collapsed="false">
      <c r="A9" s="5" t="s">
        <v>284</v>
      </c>
      <c r="B9" s="5"/>
      <c r="C9" s="5" t="s">
        <v>285</v>
      </c>
      <c r="D9" s="5"/>
      <c r="E9" s="5"/>
      <c r="F9" s="5"/>
      <c r="G9" s="5"/>
      <c r="H9" s="5" t="s">
        <v>286</v>
      </c>
    </row>
    <row r="10" customFormat="false" ht="199.5" hidden="false" customHeight="true" outlineLevel="0" collapsed="false">
      <c r="A10" s="55" t="s">
        <v>287</v>
      </c>
      <c r="B10" s="55"/>
      <c r="C10" s="56" t="s">
        <v>288</v>
      </c>
      <c r="D10" s="56"/>
      <c r="E10" s="56"/>
      <c r="F10" s="56"/>
      <c r="G10" s="56"/>
      <c r="H10" s="57" t="s">
        <v>289</v>
      </c>
    </row>
    <row r="11" customFormat="false" ht="199.5" hidden="false" customHeight="true" outlineLevel="0" collapsed="false">
      <c r="A11" s="55" t="s">
        <v>290</v>
      </c>
      <c r="B11" s="55"/>
      <c r="C11" s="56" t="s">
        <v>291</v>
      </c>
      <c r="D11" s="56"/>
      <c r="E11" s="56"/>
      <c r="F11" s="56"/>
      <c r="G11" s="56"/>
      <c r="H11" s="58" t="s">
        <v>292</v>
      </c>
    </row>
    <row r="12" customFormat="false" ht="199.5" hidden="false" customHeight="true" outlineLevel="0" collapsed="false">
      <c r="A12" s="55" t="s">
        <v>293</v>
      </c>
      <c r="B12" s="55"/>
      <c r="C12" s="56" t="s">
        <v>294</v>
      </c>
      <c r="D12" s="56"/>
      <c r="E12" s="56"/>
      <c r="F12" s="56"/>
      <c r="G12" s="56"/>
      <c r="H12" s="57" t="s">
        <v>295</v>
      </c>
    </row>
  </sheetData>
  <mergeCells count="18">
    <mergeCell ref="A1:H1"/>
    <mergeCell ref="A2:H2"/>
    <mergeCell ref="A4:B4"/>
    <mergeCell ref="C4:H4"/>
    <mergeCell ref="A5:B5"/>
    <mergeCell ref="C5:H5"/>
    <mergeCell ref="A6:B6"/>
    <mergeCell ref="C6:H6"/>
    <mergeCell ref="A7:B7"/>
    <mergeCell ref="C7:H7"/>
    <mergeCell ref="A9:B9"/>
    <mergeCell ref="C9:G9"/>
    <mergeCell ref="A10:B10"/>
    <mergeCell ref="C10:G10"/>
    <mergeCell ref="A11:B11"/>
    <mergeCell ref="C11:G11"/>
    <mergeCell ref="A12:B12"/>
    <mergeCell ref="C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20"/>
    <col collapsed="false" customWidth="true" hidden="false" outlineLevel="0" max="7" min="7" style="0" width="25"/>
  </cols>
  <sheetData>
    <row r="1" customFormat="false" ht="27.75" hidden="false" customHeight="true" outlineLevel="0" collapsed="false">
      <c r="A1" s="1" t="s">
        <v>296</v>
      </c>
      <c r="B1" s="1"/>
      <c r="C1" s="1"/>
      <c r="D1" s="1"/>
      <c r="E1" s="1"/>
      <c r="F1" s="1"/>
      <c r="G1" s="1"/>
      <c r="H1" s="1"/>
    </row>
    <row r="2" customFormat="false" ht="15.75" hidden="false" customHeight="true" outlineLevel="0" collapsed="false">
      <c r="A2" s="2" t="s">
        <v>297</v>
      </c>
      <c r="B2" s="2"/>
      <c r="C2" s="2"/>
      <c r="D2" s="2"/>
      <c r="E2" s="2"/>
      <c r="F2" s="2"/>
      <c r="G2" s="2"/>
      <c r="H2" s="2"/>
    </row>
    <row r="4" customFormat="false" ht="15" hidden="false" customHeight="true" outlineLevel="0" collapsed="false">
      <c r="A4" s="16" t="s">
        <v>298</v>
      </c>
      <c r="B4" s="16"/>
      <c r="C4" s="16"/>
      <c r="D4" s="16"/>
      <c r="E4" s="16"/>
      <c r="F4" s="16"/>
      <c r="G4" s="16"/>
    </row>
    <row r="5" customFormat="false" ht="21.75" hidden="false" customHeight="true" outlineLevel="0" collapsed="false">
      <c r="A5" s="5" t="s">
        <v>12</v>
      </c>
      <c r="B5" s="5" t="s">
        <v>299</v>
      </c>
      <c r="C5" s="5"/>
      <c r="D5" s="5" t="s">
        <v>300</v>
      </c>
      <c r="E5" s="5" t="s">
        <v>301</v>
      </c>
      <c r="F5" s="5" t="s">
        <v>49</v>
      </c>
      <c r="G5" s="5" t="s">
        <v>138</v>
      </c>
    </row>
    <row r="6" customFormat="false" ht="19.5" hidden="false" customHeight="true" outlineLevel="0" collapsed="false">
      <c r="A6" s="59" t="n">
        <v>1</v>
      </c>
      <c r="B6" s="60"/>
      <c r="C6" s="60"/>
      <c r="D6" s="60"/>
      <c r="E6" s="60"/>
      <c r="F6" s="60"/>
      <c r="G6" s="60"/>
    </row>
    <row r="7" customFormat="false" ht="19.5" hidden="false" customHeight="true" outlineLevel="0" collapsed="false">
      <c r="A7" s="61" t="n">
        <v>2</v>
      </c>
      <c r="B7" s="60"/>
      <c r="C7" s="60"/>
      <c r="D7" s="60"/>
      <c r="E7" s="60"/>
      <c r="F7" s="60"/>
      <c r="G7" s="60"/>
    </row>
    <row r="8" customFormat="false" ht="19.5" hidden="false" customHeight="true" outlineLevel="0" collapsed="false">
      <c r="A8" s="59" t="n">
        <v>3</v>
      </c>
      <c r="B8" s="60"/>
      <c r="C8" s="60"/>
      <c r="D8" s="60"/>
      <c r="E8" s="60"/>
      <c r="F8" s="60"/>
      <c r="G8" s="60"/>
    </row>
    <row r="9" customFormat="false" ht="19.5" hidden="false" customHeight="true" outlineLevel="0" collapsed="false">
      <c r="A9" s="61" t="n">
        <v>4</v>
      </c>
      <c r="B9" s="60"/>
      <c r="C9" s="60"/>
      <c r="D9" s="60"/>
      <c r="E9" s="60"/>
      <c r="F9" s="60"/>
      <c r="G9" s="60"/>
    </row>
    <row r="11" customFormat="false" ht="15" hidden="false" customHeight="true" outlineLevel="0" collapsed="false">
      <c r="A11" s="16" t="s">
        <v>302</v>
      </c>
      <c r="B11" s="16"/>
      <c r="C11" s="16"/>
      <c r="D11" s="16"/>
      <c r="E11" s="16"/>
      <c r="F11" s="16"/>
      <c r="G11" s="16"/>
    </row>
    <row r="12" customFormat="false" ht="21.75" hidden="false" customHeight="true" outlineLevel="0" collapsed="false">
      <c r="A12" s="5" t="s">
        <v>12</v>
      </c>
      <c r="B12" s="5" t="s">
        <v>303</v>
      </c>
      <c r="C12" s="5"/>
      <c r="D12" s="5" t="s">
        <v>304</v>
      </c>
      <c r="E12" s="5" t="s">
        <v>305</v>
      </c>
      <c r="F12" s="5" t="s">
        <v>306</v>
      </c>
      <c r="G12" s="5" t="s">
        <v>138</v>
      </c>
    </row>
    <row r="13" customFormat="false" ht="19.5" hidden="false" customHeight="true" outlineLevel="0" collapsed="false">
      <c r="A13" s="59" t="n">
        <v>1</v>
      </c>
      <c r="B13" s="8" t="s">
        <v>307</v>
      </c>
      <c r="C13" s="8"/>
      <c r="D13" s="40" t="s">
        <v>308</v>
      </c>
      <c r="E13" s="60"/>
      <c r="F13" s="60"/>
      <c r="G13" s="60"/>
    </row>
    <row r="14" customFormat="false" ht="19.5" hidden="false" customHeight="true" outlineLevel="0" collapsed="false">
      <c r="A14" s="61" t="n">
        <v>2</v>
      </c>
      <c r="B14" s="13" t="s">
        <v>309</v>
      </c>
      <c r="C14" s="13"/>
      <c r="D14" s="43" t="s">
        <v>310</v>
      </c>
      <c r="E14" s="60"/>
      <c r="F14" s="60"/>
      <c r="G14" s="60"/>
    </row>
    <row r="15" customFormat="false" ht="19.5" hidden="false" customHeight="true" outlineLevel="0" collapsed="false">
      <c r="A15" s="59" t="n">
        <v>3</v>
      </c>
      <c r="B15" s="8" t="s">
        <v>311</v>
      </c>
      <c r="C15" s="8"/>
      <c r="D15" s="40" t="s">
        <v>312</v>
      </c>
      <c r="E15" s="60"/>
      <c r="F15" s="60"/>
      <c r="G15" s="60"/>
    </row>
    <row r="16" customFormat="false" ht="19.5" hidden="false" customHeight="true" outlineLevel="0" collapsed="false">
      <c r="A16" s="61" t="n">
        <v>4</v>
      </c>
      <c r="B16" s="13" t="s">
        <v>313</v>
      </c>
      <c r="C16" s="13"/>
      <c r="D16" s="43" t="s">
        <v>314</v>
      </c>
      <c r="E16" s="60"/>
      <c r="F16" s="60"/>
      <c r="G16" s="60"/>
    </row>
    <row r="17" customFormat="false" ht="19.5" hidden="false" customHeight="true" outlineLevel="0" collapsed="false">
      <c r="A17" s="59" t="n">
        <v>5</v>
      </c>
      <c r="B17" s="8" t="s">
        <v>315</v>
      </c>
      <c r="C17" s="8"/>
      <c r="D17" s="40" t="s">
        <v>316</v>
      </c>
      <c r="E17" s="60"/>
      <c r="F17" s="60"/>
      <c r="G17" s="60"/>
    </row>
    <row r="18" customFormat="false" ht="19.5" hidden="false" customHeight="true" outlineLevel="0" collapsed="false">
      <c r="A18" s="61" t="n">
        <v>6</v>
      </c>
      <c r="B18" s="13" t="s">
        <v>317</v>
      </c>
      <c r="C18" s="13"/>
      <c r="D18" s="43" t="s">
        <v>318</v>
      </c>
      <c r="E18" s="60"/>
      <c r="F18" s="60"/>
      <c r="G18" s="60"/>
    </row>
  </sheetData>
  <mergeCells count="16">
    <mergeCell ref="A1:H1"/>
    <mergeCell ref="A2:H2"/>
    <mergeCell ref="A4:G4"/>
    <mergeCell ref="B5:C5"/>
    <mergeCell ref="B6:C6"/>
    <mergeCell ref="B7:C7"/>
    <mergeCell ref="B8:C8"/>
    <mergeCell ref="B9:C9"/>
    <mergeCell ref="A11:G11"/>
    <mergeCell ref="B12:C12"/>
    <mergeCell ref="B13:C13"/>
    <mergeCell ref="B14:C14"/>
    <mergeCell ref="B15:C15"/>
    <mergeCell ref="B16:C16"/>
    <mergeCell ref="B17:C17"/>
    <mergeCell ref="B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2026-02-26T06:55:02Z</dcterms:created>
  <dc:creator>openpyxl</dc:creator>
  <dc:description/>
  <dc:language>en-US</dc:language>
  <cp:lastModifiedBy/>
  <dcterms:modified xsi:type="dcterms:W3CDTF">2026-02-26T06:55:02Z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